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Komal Bhati\Desktop\New folder\"/>
    </mc:Choice>
  </mc:AlternateContent>
  <xr:revisionPtr revIDLastSave="0" documentId="13_ncr:1_{AD539DF7-E4B9-4C61-8F18-7AD98E0ED5D5}" xr6:coauthVersionLast="47" xr6:coauthVersionMax="47" xr10:uidLastSave="{00000000-0000-0000-0000-000000000000}"/>
  <bookViews>
    <workbookView xWindow="-108" yWindow="-108" windowWidth="23256" windowHeight="12456" activeTab="3" xr2:uid="{00000000-000D-0000-FFFF-FFFF00000000}"/>
  </bookViews>
  <sheets>
    <sheet name="Sheet4" sheetId="6" r:id="rId1"/>
    <sheet name="Sheet5" sheetId="7" r:id="rId2"/>
    <sheet name="Sheet6" sheetId="8" r:id="rId3"/>
    <sheet name="Expense" sheetId="1" r:id="rId4"/>
    <sheet name="Tasks" sheetId="2" r:id="rId5"/>
    <sheet name="Sheet2" sheetId="4" r:id="rId6"/>
  </sheets>
  <definedNames>
    <definedName name="_xlnm._FilterDatabase" localSheetId="3" hidden="1">Expense!$A$1:$C$51</definedName>
  </definedNames>
  <calcPr calcId="191029"/>
  <pivotCaches>
    <pivotCache cacheId="32" r:id="rId7"/>
    <pivotCache cacheId="37"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2" i="1" l="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3" i="1"/>
  <c r="E4" i="1"/>
  <c r="E5" i="1"/>
  <c r="E6" i="1"/>
  <c r="E7" i="1"/>
  <c r="E8" i="1"/>
  <c r="E9" i="1"/>
  <c r="E10" i="1"/>
  <c r="E11" i="1"/>
  <c r="E2" i="1"/>
  <c r="D52"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3" i="1"/>
  <c r="D4" i="1"/>
  <c r="D2" i="1"/>
  <c r="G3" i="1"/>
  <c r="C52" i="1"/>
</calcChain>
</file>

<file path=xl/sharedStrings.xml><?xml version="1.0" encoding="utf-8"?>
<sst xmlns="http://schemas.openxmlformats.org/spreadsheetml/2006/main" count="127" uniqueCount="35">
  <si>
    <t>Date</t>
  </si>
  <si>
    <t>Expense</t>
  </si>
  <si>
    <t>Medicine</t>
  </si>
  <si>
    <t>Online shopping</t>
  </si>
  <si>
    <t>Other essential items</t>
  </si>
  <si>
    <t>Vegetables &amp; Fruit</t>
  </si>
  <si>
    <t>Fish &amp; Chicken</t>
  </si>
  <si>
    <t>Ordering food</t>
  </si>
  <si>
    <t>Movie with friends</t>
  </si>
  <si>
    <t>Cab to office</t>
  </si>
  <si>
    <t>Gifts</t>
  </si>
  <si>
    <t>Mobile Bill Payment</t>
  </si>
  <si>
    <t>Trip</t>
  </si>
  <si>
    <t>Online Shopping</t>
  </si>
  <si>
    <t>Items</t>
  </si>
  <si>
    <t>How many times has Priya done transactions on online shopping, ordering food and gifts?</t>
  </si>
  <si>
    <t>Calculate the total expenses against each distinct item.</t>
  </si>
  <si>
    <t>Arrange the item-wise total expense in descending order.</t>
  </si>
  <si>
    <t>Present the item-wise total expense through a chart that shows the expense of each item as a percentage of the total expense. Don’t take trip expenses into consideration.</t>
  </si>
  <si>
    <t>Present the expense pattern visually over 3 months.</t>
  </si>
  <si>
    <t>Add a new column to the data table, name it as “Category” and apply data validation with drop-down fields as “Essentials” and “Non-essentials”. Fill in the column.</t>
  </si>
  <si>
    <t>Add another new column and name it as “Cost Type”. For each item, if the expense is more than 2000, tag it as “Over budget”, else, tag it as “Within budget”.</t>
  </si>
  <si>
    <t>Mention the ways how Priya can reduce her expenses. Justify each point.</t>
  </si>
  <si>
    <t>Task to Perform</t>
  </si>
  <si>
    <t>Row Labels</t>
  </si>
  <si>
    <t>Grand Total</t>
  </si>
  <si>
    <t>Sum of Expense</t>
  </si>
  <si>
    <t>Column Labels</t>
  </si>
  <si>
    <t>Percentage</t>
  </si>
  <si>
    <t>Sum of Percentage</t>
  </si>
  <si>
    <t>Oct</t>
  </si>
  <si>
    <t>Nov</t>
  </si>
  <si>
    <t>Dec</t>
  </si>
  <si>
    <t>Cost Type</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</si>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</sst>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theme="1"/>
      <name val="Calibri"/>
      <family val="2"/>
      <scheme val="minor"/>
    </font>
    <font>
      <b/>
      <sz val="11"/>
      <color rgb="FF003F81"/>
      <name val="Verdana"/>
      <family val="2"/>
    </font>
    <font>
      <sz val="11"/>
      <color rgb="FF000000"/>
      <name val="Verdana"/>
      <family val="2"/>
    </font>
    <font>
      <sz val="24"/>
      <color theme="1"/>
      <name val="Calibri"/>
      <family val="2"/>
      <scheme val="minor"/>
    </font>
    <font>
      <b/>
      <sz val="11"/>
      <color theme="1"/>
      <name val="Calibri"/>
      <family val="2"/>
      <scheme val="minor"/>
    </font>
    <font>
      <sz val="11"/>
      <color theme="1"/>
      <name val="Calibri"/>
      <family val="2"/>
      <scheme val="minor"/>
    </font>
    <font>
      <b/>
      <sz val="18"/>
      <color theme="1"/>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F7F6F6"/>
        <bgColor indexed="64"/>
      </patternFill>
    </fill>
    <fill>
      <patternFill patternType="solid">
        <fgColor theme="0"/>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6" fillId="0" borderId="0" applyFont="0" applyFill="0" applyBorder="0" applyAlignment="0" applyProtection="0"/>
  </cellStyleXfs>
  <cellXfs count="22">
    <xf numFmtId="0" fontId="0" fillId="0" borderId="0" xfId="0"/>
    <xf numFmtId="0" fontId="1" fillId="0" borderId="0" xfId="0" applyFont="1" applyAlignment="1">
      <alignment vertical="center"/>
    </xf>
    <xf numFmtId="0" fontId="4" fillId="0" borderId="0" xfId="0" applyFont="1" applyAlignment="1">
      <alignment vertical="center"/>
    </xf>
    <xf numFmtId="0" fontId="2"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3" fillId="3" borderId="1" xfId="0" applyFont="1" applyFill="1" applyBorder="1" applyAlignment="1">
      <alignment vertical="center" wrapText="1"/>
    </xf>
    <xf numFmtId="0" fontId="2" fillId="4" borderId="1" xfId="0" applyFont="1" applyFill="1" applyBorder="1" applyAlignment="1">
      <alignment horizontal="center" vertical="center" wrapText="1"/>
    </xf>
    <xf numFmtId="0" fontId="3" fillId="4" borderId="1" xfId="0" applyFont="1" applyFill="1" applyBorder="1" applyAlignment="1">
      <alignment horizontal="right" vertical="center" wrapText="1"/>
    </xf>
    <xf numFmtId="4" fontId="3" fillId="4" borderId="1" xfId="0" applyNumberFormat="1" applyFont="1" applyFill="1" applyBorder="1" applyAlignment="1">
      <alignment horizontal="right" vertical="center" wrapText="1"/>
    </xf>
    <xf numFmtId="0" fontId="0" fillId="4" borderId="0" xfId="0" applyFill="1" applyAlignment="1">
      <alignment horizontal="right"/>
    </xf>
    <xf numFmtId="0" fontId="5" fillId="5" borderId="1" xfId="0" applyFont="1" applyFill="1" applyBorder="1" applyAlignment="1">
      <alignment horizontal="center"/>
    </xf>
    <xf numFmtId="0" fontId="0" fillId="0" borderId="1" xfId="0" applyBorder="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wrapText="1"/>
    </xf>
    <xf numFmtId="0" fontId="7" fillId="0" borderId="1" xfId="0" applyFont="1" applyBorder="1" applyAlignment="1">
      <alignment horizontal="left" vertical="center"/>
    </xf>
    <xf numFmtId="9" fontId="0" fillId="0" borderId="0" xfId="0" applyNumberFormat="1"/>
    <xf numFmtId="9" fontId="0" fillId="0" borderId="0" xfId="1" applyFont="1"/>
    <xf numFmtId="0" fontId="2" fillId="2" borderId="2" xfId="0" applyFont="1" applyFill="1" applyBorder="1" applyAlignment="1">
      <alignment horizontal="center" vertical="center" wrapText="1"/>
    </xf>
    <xf numFmtId="14" fontId="3" fillId="2" borderId="2" xfId="0" applyNumberFormat="1" applyFont="1" applyFill="1" applyBorder="1" applyAlignment="1">
      <alignment horizontal="center" vertical="center" wrapText="1"/>
    </xf>
    <xf numFmtId="14" fontId="3" fillId="3" borderId="2" xfId="0" applyNumberFormat="1" applyFont="1" applyFill="1" applyBorder="1" applyAlignment="1">
      <alignment horizontal="center" vertical="center" wrapText="1"/>
    </xf>
  </cellXfs>
  <cellStyles count="2">
    <cellStyle name="Normal" xfId="0" builtinId="0"/>
    <cellStyle name="Percent" xfId="1" builtinId="5"/>
  </cellStyles>
  <dxfs count="5">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Verdana"/>
        <family val="2"/>
        <scheme val="none"/>
      </font>
      <fill>
        <patternFill patternType="solid">
          <fgColor indexed="64"/>
          <bgColor theme="0"/>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Verdana"/>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Verdana"/>
        <family val="2"/>
        <scheme val="none"/>
      </font>
      <numFmt numFmtId="19" formatCode="dd/mm/yyyy"/>
      <fill>
        <patternFill patternType="solid">
          <fgColor indexed="64"/>
          <bgColor rgb="FFFFFFFF"/>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[Priyas Expense Summary (2).xlsx]Sheet5!PivotTable4</c:name>
    <c:fmtId val="0"/>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Sheet5!$A$4:$A$14</c:f>
              <c:strCache>
                <c:ptCount val="10"/>
                <c:pt idx="0">
                  <c:v>Cab to office</c:v>
                </c:pt>
                <c:pt idx="1">
                  <c:v>Fish &amp; Chicken</c:v>
                </c:pt>
                <c:pt idx="2">
                  <c:v>Gifts</c:v>
                </c:pt>
                <c:pt idx="3">
                  <c:v>Medicine</c:v>
                </c:pt>
                <c:pt idx="4">
                  <c:v>Mobile Bill Payment</c:v>
                </c:pt>
                <c:pt idx="5">
                  <c:v>Movie with friends</c:v>
                </c:pt>
                <c:pt idx="6">
                  <c:v>Online shopping</c:v>
                </c:pt>
                <c:pt idx="7">
                  <c:v>Ordering food</c:v>
                </c:pt>
                <c:pt idx="8">
                  <c:v>Other essential items</c:v>
                </c:pt>
                <c:pt idx="9">
                  <c:v>Vegetables &amp; Fruit</c:v>
                </c:pt>
              </c:strCache>
            </c:strRef>
          </c:cat>
          <c:val>
            <c:numRef>
              <c:f>Sheet5!$B$4:$B$14</c:f>
              <c:numCache>
                <c:formatCode>0%</c:formatCode>
                <c:ptCount val="10"/>
                <c:pt idx="0">
                  <c:v>2.6486157397449431E-2</c:v>
                </c:pt>
                <c:pt idx="1">
                  <c:v>5.8585050083907055E-2</c:v>
                </c:pt>
                <c:pt idx="2">
                  <c:v>9.9710282728085964E-2</c:v>
                </c:pt>
                <c:pt idx="3">
                  <c:v>0.13629526164044803</c:v>
                </c:pt>
                <c:pt idx="4">
                  <c:v>2.4739299156617191E-2</c:v>
                </c:pt>
                <c:pt idx="5">
                  <c:v>4.5332417569414613E-2</c:v>
                </c:pt>
                <c:pt idx="6">
                  <c:v>0.13084345117483009</c:v>
                </c:pt>
                <c:pt idx="7">
                  <c:v>3.2553093359011187E-2</c:v>
                </c:pt>
                <c:pt idx="8">
                  <c:v>0.17870193269310497</c:v>
                </c:pt>
                <c:pt idx="9">
                  <c:v>5.639380793534679E-2</c:v>
                </c:pt>
              </c:numCache>
            </c:numRef>
          </c:val>
          <c:extLst>
            <c:ext xmlns:c16="http://schemas.microsoft.com/office/drawing/2014/chart" uri="{C3380CC4-5D6E-409C-BE32-E72D297353CC}">
              <c16:uniqueId val="{00000000-5520-4EC6-8AD3-3C0054C847AB}"/>
            </c:ext>
          </c:extLst>
        </c:ser>
        <c:dLbls>
          <c:dLblPos val="inEnd"/>
          <c:showLegendKey val="0"/>
          <c:showVal val="1"/>
          <c:showCatName val="0"/>
          <c:showSerName val="0"/>
          <c:showPercent val="0"/>
          <c:showBubbleSize val="0"/>
        </c:dLbls>
        <c:gapWidth val="41"/>
        <c:axId val="1216246176"/>
        <c:axId val="1216244256"/>
      </c:barChart>
      <c:catAx>
        <c:axId val="1216246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216244256"/>
        <c:crosses val="autoZero"/>
        <c:auto val="1"/>
        <c:lblAlgn val="ctr"/>
        <c:lblOffset val="100"/>
        <c:noMultiLvlLbl val="0"/>
      </c:catAx>
      <c:valAx>
        <c:axId val="1216244256"/>
        <c:scaling>
          <c:orientation val="minMax"/>
        </c:scaling>
        <c:delete val="1"/>
        <c:axPos val="l"/>
        <c:numFmt formatCode="0%" sourceLinked="1"/>
        <c:majorTickMark val="none"/>
        <c:minorTickMark val="none"/>
        <c:tickLblPos val="nextTo"/>
        <c:crossAx val="121624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[Priyas Expense Summary (2).xlsx]Sheet6!PivotTable5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Sheet6!$B$3:$B$4</c:f>
              <c:strCache>
                <c:ptCount val="1"/>
                <c:pt idx="0">
                  <c:v>Oct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Sheet6!$A$5:$A$16</c:f>
              <c:strCache>
                <c:ptCount val="11"/>
                <c:pt idx="0">
                  <c:v>Cab to office</c:v>
                </c:pt>
                <c:pt idx="1">
                  <c:v>Fish &amp; Chicken</c:v>
                </c:pt>
                <c:pt idx="2">
                  <c:v>Gifts</c:v>
                </c:pt>
                <c:pt idx="3">
                  <c:v>Medicine</c:v>
                </c:pt>
                <c:pt idx="4">
                  <c:v>Mobile Bill Payment</c:v>
                </c:pt>
                <c:pt idx="5">
                  <c:v>Movie with friends</c:v>
                </c:pt>
                <c:pt idx="6">
                  <c:v>Online shopping</c:v>
                </c:pt>
                <c:pt idx="7">
                  <c:v>Ordering food</c:v>
                </c:pt>
                <c:pt idx="8">
                  <c:v>Other essential items</c:v>
                </c:pt>
                <c:pt idx="9">
                  <c:v>Trip</c:v>
                </c:pt>
                <c:pt idx="10">
                  <c:v>Vegetables &amp; Fruit</c:v>
                </c:pt>
              </c:strCache>
            </c:strRef>
          </c:cat>
          <c:val>
            <c:numRef>
              <c:f>Sheet6!$B$5:$B$16</c:f>
              <c:numCache>
                <c:formatCode>General</c:formatCode>
                <c:ptCount val="11"/>
                <c:pt idx="0">
                  <c:v>1188.27</c:v>
                </c:pt>
                <c:pt idx="1">
                  <c:v>1310</c:v>
                </c:pt>
                <c:pt idx="2">
                  <c:v>1900</c:v>
                </c:pt>
                <c:pt idx="3">
                  <c:v>3375</c:v>
                </c:pt>
                <c:pt idx="4">
                  <c:v>470</c:v>
                </c:pt>
                <c:pt idx="5">
                  <c:v>1140</c:v>
                </c:pt>
                <c:pt idx="6">
                  <c:v>1737</c:v>
                </c:pt>
                <c:pt idx="7">
                  <c:v>939</c:v>
                </c:pt>
                <c:pt idx="8">
                  <c:v>4374.1000000000004</c:v>
                </c:pt>
                <c:pt idx="10">
                  <c:v>1010</c:v>
                </c:pt>
              </c:numCache>
            </c:numRef>
          </c:val>
          <c:smooth val="0"/>
          <c:extLst>
            <c:ext xmlns:c16="http://schemas.microsoft.com/office/drawing/2014/chart" uri="{C3380CC4-5D6E-409C-BE32-E72D297353CC}">
              <c16:uniqueId val="{00000000-4B22-49B6-96F9-323BA125F85F}"/>
            </c:ext>
          </c:extLst>
        </c:ser>
        <c:ser>
          <c:idx val="1"/>
          <c:order val="1"/>
          <c:tx>
            <c:strRef>
              <c:f>Sheet6!$C$3:$C$4</c:f>
              <c:strCache>
                <c:ptCount val="1"/>
                <c:pt idx="0">
                  <c:v>Nov</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Sheet6!$A$5:$A$16</c:f>
              <c:strCache>
                <c:ptCount val="11"/>
                <c:pt idx="0">
                  <c:v>Cab to office</c:v>
                </c:pt>
                <c:pt idx="1">
                  <c:v>Fish &amp; Chicken</c:v>
                </c:pt>
                <c:pt idx="2">
                  <c:v>Gifts</c:v>
                </c:pt>
                <c:pt idx="3">
                  <c:v>Medicine</c:v>
                </c:pt>
                <c:pt idx="4">
                  <c:v>Mobile Bill Payment</c:v>
                </c:pt>
                <c:pt idx="5">
                  <c:v>Movie with friends</c:v>
                </c:pt>
                <c:pt idx="6">
                  <c:v>Online shopping</c:v>
                </c:pt>
                <c:pt idx="7">
                  <c:v>Ordering food</c:v>
                </c:pt>
                <c:pt idx="8">
                  <c:v>Other essential items</c:v>
                </c:pt>
                <c:pt idx="9">
                  <c:v>Trip</c:v>
                </c:pt>
                <c:pt idx="10">
                  <c:v>Vegetables &amp; Fruit</c:v>
                </c:pt>
              </c:strCache>
            </c:strRef>
          </c:cat>
          <c:val>
            <c:numRef>
              <c:f>Sheet6!$C$5:$C$16</c:f>
              <c:numCache>
                <c:formatCode>General</c:formatCode>
                <c:ptCount val="11"/>
                <c:pt idx="0">
                  <c:v>322.64</c:v>
                </c:pt>
                <c:pt idx="1">
                  <c:v>1392</c:v>
                </c:pt>
                <c:pt idx="2">
                  <c:v>2288</c:v>
                </c:pt>
                <c:pt idx="3">
                  <c:v>2100</c:v>
                </c:pt>
                <c:pt idx="4">
                  <c:v>470.63</c:v>
                </c:pt>
                <c:pt idx="5">
                  <c:v>1446</c:v>
                </c:pt>
                <c:pt idx="6">
                  <c:v>5727</c:v>
                </c:pt>
                <c:pt idx="7">
                  <c:v>651</c:v>
                </c:pt>
                <c:pt idx="8">
                  <c:v>3320</c:v>
                </c:pt>
                <c:pt idx="10">
                  <c:v>1047</c:v>
                </c:pt>
              </c:numCache>
            </c:numRef>
          </c:val>
          <c:smooth val="0"/>
          <c:extLst>
            <c:ext xmlns:c16="http://schemas.microsoft.com/office/drawing/2014/chart" uri="{C3380CC4-5D6E-409C-BE32-E72D297353CC}">
              <c16:uniqueId val="{00000001-4B22-49B6-96F9-323BA125F85F}"/>
            </c:ext>
          </c:extLst>
        </c:ser>
        <c:ser>
          <c:idx val="2"/>
          <c:order val="2"/>
          <c:tx>
            <c:strRef>
              <c:f>Sheet6!$D$3:$D$4</c:f>
              <c:strCache>
                <c:ptCount val="1"/>
                <c:pt idx="0">
                  <c:v>Dec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Sheet6!$A$5:$A$16</c:f>
              <c:strCache>
                <c:ptCount val="11"/>
                <c:pt idx="0">
                  <c:v>Cab to office</c:v>
                </c:pt>
                <c:pt idx="1">
                  <c:v>Fish &amp; Chicken</c:v>
                </c:pt>
                <c:pt idx="2">
                  <c:v>Gifts</c:v>
                </c:pt>
                <c:pt idx="3">
                  <c:v>Medicine</c:v>
                </c:pt>
                <c:pt idx="4">
                  <c:v>Mobile Bill Payment</c:v>
                </c:pt>
                <c:pt idx="5">
                  <c:v>Movie with friends</c:v>
                </c:pt>
                <c:pt idx="6">
                  <c:v>Online shopping</c:v>
                </c:pt>
                <c:pt idx="7">
                  <c:v>Ordering food</c:v>
                </c:pt>
                <c:pt idx="8">
                  <c:v>Other essential items</c:v>
                </c:pt>
                <c:pt idx="9">
                  <c:v>Trip</c:v>
                </c:pt>
                <c:pt idx="10">
                  <c:v>Vegetables &amp; Fruit</c:v>
                </c:pt>
              </c:strCache>
            </c:strRef>
          </c:cat>
          <c:val>
            <c:numRef>
              <c:f>Sheet6!$D$5:$D$16</c:f>
              <c:numCache>
                <c:formatCode>General</c:formatCode>
                <c:ptCount val="11"/>
                <c:pt idx="1">
                  <c:v>640</c:v>
                </c:pt>
                <c:pt idx="2">
                  <c:v>1500</c:v>
                </c:pt>
                <c:pt idx="3">
                  <c:v>2300</c:v>
                </c:pt>
                <c:pt idx="4">
                  <c:v>470.63</c:v>
                </c:pt>
                <c:pt idx="7">
                  <c:v>267</c:v>
                </c:pt>
                <c:pt idx="8">
                  <c:v>2500</c:v>
                </c:pt>
                <c:pt idx="9">
                  <c:v>12000</c:v>
                </c:pt>
                <c:pt idx="10">
                  <c:v>1160</c:v>
                </c:pt>
              </c:numCache>
            </c:numRef>
          </c:val>
          <c:smooth val="0"/>
          <c:extLst>
            <c:ext xmlns:c16="http://schemas.microsoft.com/office/drawing/2014/chart" uri="{C3380CC4-5D6E-409C-BE32-E72D297353CC}">
              <c16:uniqueId val="{00000002-4B22-49B6-96F9-323BA125F85F}"/>
            </c:ext>
          </c:extLst>
        </c:ser>
        <c:dLbls>
          <c:showLegendKey val="0"/>
          <c:showVal val="0"/>
          <c:showCatName val="0"/>
          <c:showSerName val="0"/>
          <c:showPercent val="0"/>
          <c:showBubbleSize val="0"/>
        </c:dLbls>
        <c:marker val="1"/>
        <c:smooth val="0"/>
        <c:axId val="1335893152"/>
        <c:axId val="1335897952"/>
      </c:lineChart>
      <c:catAx>
        <c:axId val="133589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35897952"/>
        <c:crosses val="autoZero"/>
        <c:auto val="1"/>
        <c:lblAlgn val="ctr"/>
        <c:lblOffset val="100"/>
        <c:noMultiLvlLbl val="0"/>
      </c:catAx>
      <c:valAx>
        <c:axId val="133589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3589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2">
          <a:lumMod val="75000"/>
        </a:schemeClr>
      </a:solidFill>
      <a:round/>
    </a:ln>
    <a:effectLst>
      <a:outerShdw blurRad="63500" sx="102000" sy="102000" algn="ctr" rotWithShape="0">
        <a:prstClr val="black">
          <a:alpha val="40000"/>
        </a:prst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449580</xdr:colOff>
      <xdr:row>1</xdr:row>
      <xdr:rowOff>144780</xdr:rowOff>
    </xdr:from>
    <xdr:to>
      <xdr:col>14</xdr:col>
      <xdr:colOff>121920</xdr:colOff>
      <xdr:row>20</xdr:row>
      <xdr:rowOff>118110</xdr:rowOff>
    </xdr:to>
    <xdr:graphicFrame macro="">
      <xdr:nvGraphicFramePr>
        <xdr:cNvPr id="2" name="Chart 1">
          <a:extLst>
            <a:ext uri="{FF2B5EF4-FFF2-40B4-BE49-F238E27FC236}">
              <a16:creationId xmlns:a16="http://schemas.microsoft.com/office/drawing/2014/main" id="{830FCCE9-3D9A-15EF-E0D4-F998FC9293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480060</xdr:colOff>
      <xdr:row>3</xdr:row>
      <xdr:rowOff>7620</xdr:rowOff>
    </xdr:from>
    <xdr:to>
      <xdr:col>10</xdr:col>
      <xdr:colOff>441960</xdr:colOff>
      <xdr:row>18</xdr:row>
      <xdr:rowOff>7620</xdr:rowOff>
    </xdr:to>
    <xdr:graphicFrame macro="">
      <xdr:nvGraphicFramePr>
        <xdr:cNvPr id="2" name="Chart 1">
          <a:extLst>
            <a:ext uri="{FF2B5EF4-FFF2-40B4-BE49-F238E27FC236}">
              <a16:creationId xmlns:a16="http://schemas.microsoft.com/office/drawing/2014/main" id="{76C24142-63CB-CCAD-BEEF-5E0AB524E5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mal Bhati" refreshedDate="45624.337379282406" createdVersion="8" refreshedVersion="8" minRefreshableVersion="3" recordCount="50" xr:uid="{29D0CA18-C22F-480A-9BC7-1991977F8CBB}">
  <cacheSource type="worksheet">
    <worksheetSource ref="A1:C51" sheet="Expense"/>
  </cacheSource>
  <cacheFields count="3">
    <cacheField name="Date" numFmtId="14">
      <sharedItems containsSemiMixedTypes="0" containsNonDate="0" containsDate="1" containsString="0" minDate="2021-10-01T00:00:00" maxDate="2021-12-24T00:00:00"/>
    </cacheField>
    <cacheField name="Items" numFmtId="0">
      <sharedItems count="11">
        <s v="Medicine"/>
        <s v="Online shopping"/>
        <s v="Other essential items"/>
        <s v="Vegetables &amp; Fruit"/>
        <s v="Fish &amp; Chicken"/>
        <s v="Gifts"/>
        <s v="Ordering food"/>
        <s v="Movie with friends"/>
        <s v="Mobile Bill Payment"/>
        <s v="Cab to office"/>
        <s v="Trip"/>
      </sharedItems>
    </cacheField>
    <cacheField name="Expense" numFmtId="0">
      <sharedItems containsSemiMixedTypes="0" containsString="0" containsNumber="1" minValue="150" maxValue="12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mal Bhati" refreshedDate="45624.339314467594" createdVersion="8" refreshedVersion="8" minRefreshableVersion="3" recordCount="50" xr:uid="{F0270334-7675-409C-AFB4-4429AEDC7C83}">
  <cacheSource type="worksheet">
    <worksheetSource name="Table1"/>
  </cacheSource>
  <cacheFields count="6">
    <cacheField name="Date" numFmtId="14">
      <sharedItems containsSemiMixedTypes="0" containsNonDate="0" containsDate="1" containsString="0" minDate="2021-10-01T00:00:00" maxDate="2021-12-24T00:00:00" count="39">
        <d v="2021-10-01T00:00:00"/>
        <d v="2021-10-04T00:00:00"/>
        <d v="2021-10-07T00:00:00"/>
        <d v="2021-10-08T00:00:00"/>
        <d v="2021-10-15T00:00:00"/>
        <d v="2021-10-16T00:00:00"/>
        <d v="2021-10-18T00:00:00"/>
        <d v="2021-10-19T00:00:00"/>
        <d v="2021-10-22T00:00:00"/>
        <d v="2021-10-25T00:00:00"/>
        <d v="2021-10-27T00:00:00"/>
        <d v="2021-10-28T00:00:00"/>
        <d v="2021-10-29T00:00:00"/>
        <d v="2021-10-30T00:00:00"/>
        <d v="2021-11-01T00:00:00"/>
        <d v="2021-11-02T00:00:00"/>
        <d v="2021-11-04T00:00:00"/>
        <d v="2021-11-05T00:00:00"/>
        <d v="2021-11-08T00:00:00"/>
        <d v="2021-11-09T00:00:00"/>
        <d v="2021-11-12T00:00:00"/>
        <d v="2021-11-15T00:00:00"/>
        <d v="2021-11-17T00:00:00"/>
        <d v="2021-11-18T00:00:00"/>
        <d v="2021-11-19T00:00:00"/>
        <d v="2021-11-22T00:00:00"/>
        <d v="2021-11-24T00:00:00"/>
        <d v="2021-11-25T00:00:00"/>
        <d v="2021-11-26T00:00:00"/>
        <d v="2021-11-29T00:00:00"/>
        <d v="2021-11-30T00:00:00"/>
        <d v="2021-12-01T00:00:00"/>
        <d v="2021-12-04T00:00:00"/>
        <d v="2021-12-07T00:00:00"/>
        <d v="2021-12-09T00:00:00"/>
        <d v="2021-12-15T00:00:00"/>
        <d v="2021-12-17T00:00:00"/>
        <d v="2021-12-20T00:00:00"/>
        <d v="2021-12-23T00:00:00"/>
      </sharedItems>
      <fieldGroup par="5"/>
    </cacheField>
    <cacheField name="Items" numFmtId="0">
      <sharedItems count="11">
        <s v="Medicine"/>
        <s v="Online shopping"/>
        <s v="Other essential items"/>
        <s v="Vegetables &amp; Fruit"/>
        <s v="Fish &amp; Chicken"/>
        <s v="Gifts"/>
        <s v="Ordering food"/>
        <s v="Movie with friends"/>
        <s v="Mobile Bill Payment"/>
        <s v="Cab to office"/>
        <s v="Trip"/>
      </sharedItems>
    </cacheField>
    <cacheField name="Expense" numFmtId="0">
      <sharedItems containsSemiMixedTypes="0" containsString="0" containsNumber="1" minValue="150" maxValue="12000"/>
    </cacheField>
    <cacheField name="Percentage" numFmtId="9">
      <sharedItems containsSemiMixedTypes="0" containsString="0" containsNumber="1" minValue="2.6294905782723093E-3" maxValue="0.21035924626178473"/>
    </cacheField>
    <cacheField name="Days (Date)" numFmtId="0" databaseField="0">
      <fieldGroup base="0">
        <rangePr groupBy="days" startDate="2021-10-01T00:00:00" endDate="2021-12-24T00:00:00"/>
        <groupItems count="368">
          <s v="&lt;01-10-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4-12-2021"/>
        </groupItems>
      </fieldGroup>
    </cacheField>
    <cacheField name="Months (Date)" numFmtId="0" databaseField="0">
      <fieldGroup base="0">
        <rangePr groupBy="months" startDate="2021-10-01T00:00:00" endDate="2021-12-24T00:00:00"/>
        <groupItems count="14">
          <s v="&lt;01-10-2021"/>
          <s v="Jan"/>
          <s v="Feb"/>
          <s v="Mar"/>
          <s v="Apr"/>
          <s v="May"/>
          <s v="Jun"/>
          <s v="Jul"/>
          <s v="Aug"/>
          <s v="Sep"/>
          <s v="Oct"/>
          <s v="Nov"/>
          <s v="Dec"/>
          <s v="&gt;24-12-202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1-10-01T00:00:00"/>
    <x v="0"/>
    <n v="2300"/>
  </r>
  <r>
    <d v="2021-10-01T00:00:00"/>
    <x v="1"/>
    <n v="767"/>
  </r>
  <r>
    <d v="2021-10-01T00:00:00"/>
    <x v="2"/>
    <n v="2500"/>
  </r>
  <r>
    <d v="2021-10-04T00:00:00"/>
    <x v="3"/>
    <n v="710"/>
  </r>
  <r>
    <d v="2021-10-04T00:00:00"/>
    <x v="4"/>
    <n v="760"/>
  </r>
  <r>
    <d v="2021-10-07T00:00:00"/>
    <x v="5"/>
    <n v="1900"/>
  </r>
  <r>
    <d v="2021-10-08T00:00:00"/>
    <x v="6"/>
    <n v="450"/>
  </r>
  <r>
    <d v="2021-10-15T00:00:00"/>
    <x v="7"/>
    <n v="620"/>
  </r>
  <r>
    <d v="2021-10-16T00:00:00"/>
    <x v="8"/>
    <n v="470"/>
  </r>
  <r>
    <d v="2021-10-18T00:00:00"/>
    <x v="1"/>
    <n v="970"/>
  </r>
  <r>
    <d v="2021-10-18T00:00:00"/>
    <x v="0"/>
    <n v="1075"/>
  </r>
  <r>
    <d v="2021-10-19T00:00:00"/>
    <x v="6"/>
    <n v="489"/>
  </r>
  <r>
    <d v="2021-10-22T00:00:00"/>
    <x v="2"/>
    <n v="1574.1"/>
  </r>
  <r>
    <d v="2021-10-22T00:00:00"/>
    <x v="4"/>
    <n v="550"/>
  </r>
  <r>
    <d v="2021-10-25T00:00:00"/>
    <x v="9"/>
    <n v="423"/>
  </r>
  <r>
    <d v="2021-10-27T00:00:00"/>
    <x v="9"/>
    <n v="358.22"/>
  </r>
  <r>
    <d v="2021-10-27T00:00:00"/>
    <x v="7"/>
    <n v="520"/>
  </r>
  <r>
    <d v="2021-10-28T00:00:00"/>
    <x v="3"/>
    <n v="300"/>
  </r>
  <r>
    <d v="2021-10-29T00:00:00"/>
    <x v="9"/>
    <n v="407.05"/>
  </r>
  <r>
    <d v="2021-10-30T00:00:00"/>
    <x v="2"/>
    <n v="300"/>
  </r>
  <r>
    <d v="2021-11-01T00:00:00"/>
    <x v="1"/>
    <n v="2327"/>
  </r>
  <r>
    <d v="2021-11-02T00:00:00"/>
    <x v="5"/>
    <n v="1150"/>
  </r>
  <r>
    <d v="2021-11-04T00:00:00"/>
    <x v="5"/>
    <n v="1138"/>
  </r>
  <r>
    <d v="2021-11-05T00:00:00"/>
    <x v="1"/>
    <n v="500"/>
  </r>
  <r>
    <d v="2021-11-08T00:00:00"/>
    <x v="4"/>
    <n v="702"/>
  </r>
  <r>
    <d v="2021-11-09T00:00:00"/>
    <x v="2"/>
    <n v="1600"/>
  </r>
  <r>
    <d v="2021-11-12T00:00:00"/>
    <x v="3"/>
    <n v="600"/>
  </r>
  <r>
    <d v="2021-11-15T00:00:00"/>
    <x v="1"/>
    <n v="900"/>
  </r>
  <r>
    <d v="2021-11-15T00:00:00"/>
    <x v="4"/>
    <n v="150"/>
  </r>
  <r>
    <d v="2021-11-15T00:00:00"/>
    <x v="0"/>
    <n v="2100"/>
  </r>
  <r>
    <d v="2021-11-17T00:00:00"/>
    <x v="8"/>
    <n v="470.63"/>
  </r>
  <r>
    <d v="2021-11-17T00:00:00"/>
    <x v="9"/>
    <n v="322.64"/>
  </r>
  <r>
    <d v="2021-11-18T00:00:00"/>
    <x v="7"/>
    <n v="428"/>
  </r>
  <r>
    <d v="2021-11-19T00:00:00"/>
    <x v="3"/>
    <n v="447"/>
  </r>
  <r>
    <d v="2021-11-22T00:00:00"/>
    <x v="2"/>
    <n v="1720"/>
  </r>
  <r>
    <d v="2021-11-24T00:00:00"/>
    <x v="4"/>
    <n v="540"/>
  </r>
  <r>
    <d v="2021-11-25T00:00:00"/>
    <x v="6"/>
    <n v="314"/>
  </r>
  <r>
    <d v="2021-11-26T00:00:00"/>
    <x v="7"/>
    <n v="518"/>
  </r>
  <r>
    <d v="2021-11-26T00:00:00"/>
    <x v="1"/>
    <n v="2000"/>
  </r>
  <r>
    <d v="2021-11-29T00:00:00"/>
    <x v="6"/>
    <n v="337"/>
  </r>
  <r>
    <d v="2021-11-30T00:00:00"/>
    <x v="7"/>
    <n v="500"/>
  </r>
  <r>
    <d v="2021-12-01T00:00:00"/>
    <x v="2"/>
    <n v="2500"/>
  </r>
  <r>
    <d v="2021-12-04T00:00:00"/>
    <x v="3"/>
    <n v="710"/>
  </r>
  <r>
    <d v="2021-12-07T00:00:00"/>
    <x v="0"/>
    <n v="2300"/>
  </r>
  <r>
    <d v="2021-12-09T00:00:00"/>
    <x v="10"/>
    <n v="12000"/>
  </r>
  <r>
    <d v="2021-12-15T00:00:00"/>
    <x v="5"/>
    <n v="1500"/>
  </r>
  <r>
    <d v="2021-12-17T00:00:00"/>
    <x v="8"/>
    <n v="470.63"/>
  </r>
  <r>
    <d v="2021-12-20T00:00:00"/>
    <x v="6"/>
    <n v="267"/>
  </r>
  <r>
    <d v="2021-12-23T00:00:00"/>
    <x v="4"/>
    <n v="640"/>
  </r>
  <r>
    <d v="2021-12-23T00:00:00"/>
    <x v="3"/>
    <n v="4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n v="2300"/>
    <n v="4.0318855533508738E-2"/>
  </r>
  <r>
    <x v="0"/>
    <x v="1"/>
    <n v="767"/>
    <n v="1.344546182356574E-2"/>
  </r>
  <r>
    <x v="0"/>
    <x v="2"/>
    <n v="2500"/>
    <n v="4.3824842971205154E-2"/>
  </r>
  <r>
    <x v="1"/>
    <x v="3"/>
    <n v="710"/>
    <n v="1.2446255403822264E-2"/>
  </r>
  <r>
    <x v="1"/>
    <x v="4"/>
    <n v="760"/>
    <n v="1.3322752263246366E-2"/>
  </r>
  <r>
    <x v="2"/>
    <x v="5"/>
    <n v="1900"/>
    <n v="3.3306880658115913E-2"/>
  </r>
  <r>
    <x v="3"/>
    <x v="6"/>
    <n v="450"/>
    <n v="7.8884717348169271E-3"/>
  </r>
  <r>
    <x v="4"/>
    <x v="7"/>
    <n v="620"/>
    <n v="1.0868561056858878E-2"/>
  </r>
  <r>
    <x v="5"/>
    <x v="8"/>
    <n v="470"/>
    <n v="8.2390704785865691E-3"/>
  </r>
  <r>
    <x v="6"/>
    <x v="1"/>
    <n v="970"/>
    <n v="1.70040390728276E-2"/>
  </r>
  <r>
    <x v="6"/>
    <x v="0"/>
    <n v="1075"/>
    <n v="1.8844682477618214E-2"/>
  </r>
  <r>
    <x v="7"/>
    <x v="6"/>
    <n v="489"/>
    <n v="8.5721392851677274E-3"/>
  </r>
  <r>
    <x v="8"/>
    <x v="2"/>
    <n v="1574.1"/>
    <n v="2.7593874128389609E-2"/>
  </r>
  <r>
    <x v="8"/>
    <x v="4"/>
    <n v="550"/>
    <n v="9.6414654536651333E-3"/>
  </r>
  <r>
    <x v="9"/>
    <x v="9"/>
    <n v="423"/>
    <n v="7.4151634307279115E-3"/>
  </r>
  <r>
    <x v="10"/>
    <x v="9"/>
    <n v="358.22"/>
    <n v="6.2795740996580444E-3"/>
  </r>
  <r>
    <x v="10"/>
    <x v="7"/>
    <n v="520"/>
    <n v="9.1155673380106713E-3"/>
  </r>
  <r>
    <x v="11"/>
    <x v="3"/>
    <n v="300"/>
    <n v="5.2589811565446187E-3"/>
  </r>
  <r>
    <x v="12"/>
    <x v="9"/>
    <n v="407.05"/>
    <n v="7.1355609325716232E-3"/>
  </r>
  <r>
    <x v="13"/>
    <x v="2"/>
    <n v="300"/>
    <n v="5.2589811565446187E-3"/>
  </r>
  <r>
    <x v="14"/>
    <x v="1"/>
    <n v="2327"/>
    <n v="4.0792163837597754E-2"/>
  </r>
  <r>
    <x v="15"/>
    <x v="5"/>
    <n v="1150"/>
    <n v="2.0159427766754369E-2"/>
  </r>
  <r>
    <x v="16"/>
    <x v="5"/>
    <n v="1138"/>
    <n v="1.9949068520492587E-2"/>
  </r>
  <r>
    <x v="17"/>
    <x v="1"/>
    <n v="500"/>
    <n v="8.7649685942410311E-3"/>
  </r>
  <r>
    <x v="18"/>
    <x v="4"/>
    <n v="702"/>
    <n v="1.2306015906314407E-2"/>
  </r>
  <r>
    <x v="19"/>
    <x v="2"/>
    <n v="1600"/>
    <n v="2.8047899501571296E-2"/>
  </r>
  <r>
    <x v="20"/>
    <x v="3"/>
    <n v="600"/>
    <n v="1.0517962313089237E-2"/>
  </r>
  <r>
    <x v="21"/>
    <x v="1"/>
    <n v="900"/>
    <n v="1.5776943469633854E-2"/>
  </r>
  <r>
    <x v="21"/>
    <x v="4"/>
    <n v="150"/>
    <n v="2.6294905782723093E-3"/>
  </r>
  <r>
    <x v="21"/>
    <x v="0"/>
    <n v="2100"/>
    <n v="3.6812868095812329E-2"/>
  </r>
  <r>
    <x v="22"/>
    <x v="8"/>
    <n v="470.63"/>
    <n v="8.2501143390153117E-3"/>
  </r>
  <r>
    <x v="22"/>
    <x v="9"/>
    <n v="322.64"/>
    <n v="5.6558589344918517E-3"/>
  </r>
  <r>
    <x v="23"/>
    <x v="7"/>
    <n v="428"/>
    <n v="7.5028131166703224E-3"/>
  </r>
  <r>
    <x v="24"/>
    <x v="3"/>
    <n v="447"/>
    <n v="7.8358819232514816E-3"/>
  </r>
  <r>
    <x v="25"/>
    <x v="2"/>
    <n v="1720"/>
    <n v="3.0151491964189144E-2"/>
  </r>
  <r>
    <x v="26"/>
    <x v="4"/>
    <n v="540"/>
    <n v="9.4661660817803132E-3"/>
  </r>
  <r>
    <x v="27"/>
    <x v="6"/>
    <n v="314"/>
    <n v="5.504400277183367E-3"/>
  </r>
  <r>
    <x v="28"/>
    <x v="7"/>
    <n v="518"/>
    <n v="9.0805074636337076E-3"/>
  </r>
  <r>
    <x v="28"/>
    <x v="1"/>
    <n v="2000"/>
    <n v="3.5059874376964124E-2"/>
  </r>
  <r>
    <x v="29"/>
    <x v="6"/>
    <n v="337"/>
    <n v="5.9075888325184544E-3"/>
  </r>
  <r>
    <x v="30"/>
    <x v="7"/>
    <n v="500"/>
    <n v="8.7649685942410311E-3"/>
  </r>
  <r>
    <x v="31"/>
    <x v="2"/>
    <n v="2500"/>
    <n v="4.3824842971205154E-2"/>
  </r>
  <r>
    <x v="32"/>
    <x v="3"/>
    <n v="710"/>
    <n v="1.2446255403822264E-2"/>
  </r>
  <r>
    <x v="33"/>
    <x v="0"/>
    <n v="2300"/>
    <n v="4.0318855533508738E-2"/>
  </r>
  <r>
    <x v="34"/>
    <x v="10"/>
    <n v="12000"/>
    <n v="0.21035924626178473"/>
  </r>
  <r>
    <x v="35"/>
    <x v="5"/>
    <n v="1500"/>
    <n v="2.6294905782723092E-2"/>
  </r>
  <r>
    <x v="36"/>
    <x v="8"/>
    <n v="470.63"/>
    <n v="8.2501143390153117E-3"/>
  </r>
  <r>
    <x v="37"/>
    <x v="6"/>
    <n v="267"/>
    <n v="4.6804932293247102E-3"/>
  </r>
  <r>
    <x v="38"/>
    <x v="4"/>
    <n v="640"/>
    <n v="1.1219159800628519E-2"/>
  </r>
  <r>
    <x v="38"/>
    <x v="3"/>
    <n v="450"/>
    <n v="7.8884717348169271E-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711F03-77E6-4E4E-9491-AA549D4E35C9}"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3">
    <pivotField numFmtId="14" showAll="0"/>
    <pivotField axis="axisRow" showAll="0" sortType="descending">
      <items count="12">
        <item x="3"/>
        <item x="10"/>
        <item x="2"/>
        <item x="6"/>
        <item x="1"/>
        <item x="7"/>
        <item x="8"/>
        <item x="0"/>
        <item x="5"/>
        <item x="4"/>
        <item x="9"/>
        <item t="default"/>
      </items>
    </pivotField>
    <pivotField dataField="1" showAll="0"/>
  </pivotFields>
  <rowFields count="1">
    <field x="1"/>
  </rowFields>
  <rowItems count="12">
    <i>
      <x/>
    </i>
    <i>
      <x v="1"/>
    </i>
    <i>
      <x v="2"/>
    </i>
    <i>
      <x v="3"/>
    </i>
    <i>
      <x v="4"/>
    </i>
    <i>
      <x v="5"/>
    </i>
    <i>
      <x v="6"/>
    </i>
    <i>
      <x v="7"/>
    </i>
    <i>
      <x v="8"/>
    </i>
    <i>
      <x v="9"/>
    </i>
    <i>
      <x v="10"/>
    </i>
    <i t="grand">
      <x/>
    </i>
  </rowItems>
  <colItems count="1">
    <i/>
  </colItems>
  <dataFields count="1">
    <dataField name="Sum of Expens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00F30F-744B-4A6F-913A-5C8D827CE2B3}" name="PivotTable4"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6">
    <pivotField numFmtId="14" showAl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axis="axisRow" showAll="0">
      <items count="12">
        <item x="9"/>
        <item x="4"/>
        <item x="5"/>
        <item x="0"/>
        <item x="8"/>
        <item x="7"/>
        <item x="1"/>
        <item x="6"/>
        <item x="2"/>
        <item h="1" x="10"/>
        <item x="3"/>
        <item t="default"/>
      </items>
    </pivotField>
    <pivotField showAll="0"/>
    <pivotField dataField="1"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i>
    <i>
      <x v="1"/>
    </i>
    <i>
      <x v="2"/>
    </i>
    <i>
      <x v="3"/>
    </i>
    <i>
      <x v="4"/>
    </i>
    <i>
      <x v="5"/>
    </i>
    <i>
      <x v="6"/>
    </i>
    <i>
      <x v="7"/>
    </i>
    <i>
      <x v="8"/>
    </i>
    <i>
      <x v="10"/>
    </i>
    <i t="grand">
      <x/>
    </i>
  </rowItems>
  <colItems count="1">
    <i/>
  </colItems>
  <dataFields count="1">
    <dataField name="Sum of Percentage" fld="3" baseField="0" baseItem="0" numFmtId="9"/>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1050C7-7E41-4EFE-BE86-45A846791BBB}" name="PivotTable5"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E16" firstHeaderRow="1" firstDataRow="2" firstDataCol="1"/>
  <pivotFields count="6">
    <pivotField numFmtId="14" showAl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axis="axisRow" showAll="0">
      <items count="12">
        <item x="9"/>
        <item x="4"/>
        <item x="5"/>
        <item x="0"/>
        <item x="8"/>
        <item x="7"/>
        <item x="1"/>
        <item x="6"/>
        <item x="2"/>
        <item x="10"/>
        <item x="3"/>
        <item t="default"/>
      </items>
    </pivotField>
    <pivotField dataField="1"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2">
    <i>
      <x/>
    </i>
    <i>
      <x v="1"/>
    </i>
    <i>
      <x v="2"/>
    </i>
    <i>
      <x v="3"/>
    </i>
    <i>
      <x v="4"/>
    </i>
    <i>
      <x v="5"/>
    </i>
    <i>
      <x v="6"/>
    </i>
    <i>
      <x v="7"/>
    </i>
    <i>
      <x v="8"/>
    </i>
    <i>
      <x v="9"/>
    </i>
    <i>
      <x v="10"/>
    </i>
    <i t="grand">
      <x/>
    </i>
  </rowItems>
  <colFields count="1">
    <field x="5"/>
  </colFields>
  <colItems count="4">
    <i>
      <x v="10"/>
    </i>
    <i>
      <x v="11"/>
    </i>
    <i>
      <x v="12"/>
    </i>
    <i t="grand">
      <x/>
    </i>
  </colItems>
  <dataFields count="1">
    <dataField name="Sum of Expense" fld="2" baseField="0" baseItem="0"/>
  </dataFields>
  <chartFormats count="3">
    <chartFormat chart="0" format="0" series="1">
      <pivotArea type="data" outline="0" fieldPosition="0">
        <references count="2">
          <reference field="4294967294" count="1" selected="0">
            <x v="0"/>
          </reference>
          <reference field="5" count="1" selected="0">
            <x v="10"/>
          </reference>
        </references>
      </pivotArea>
    </chartFormat>
    <chartFormat chart="0" format="1" series="1">
      <pivotArea type="data" outline="0" fieldPosition="0">
        <references count="2">
          <reference field="4294967294" count="1" selected="0">
            <x v="0"/>
          </reference>
          <reference field="5" count="1" selected="0">
            <x v="11"/>
          </reference>
        </references>
      </pivotArea>
    </chartFormat>
    <chartFormat chart="0" format="2" series="1">
      <pivotArea type="data" outline="0" fieldPosition="0">
        <references count="2">
          <reference field="4294967294" count="1" selected="0">
            <x v="0"/>
          </reference>
          <reference field="5"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F7C9E5-16A1-49E6-A8C3-E7385288B017}"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3">
    <pivotField numFmtId="14" showAll="0"/>
    <pivotField axis="axisRow" showAll="0">
      <items count="12">
        <item x="9"/>
        <item x="4"/>
        <item x="5"/>
        <item x="0"/>
        <item x="8"/>
        <item x="7"/>
        <item x="1"/>
        <item x="6"/>
        <item x="2"/>
        <item x="10"/>
        <item x="3"/>
        <item t="default"/>
      </items>
    </pivotField>
    <pivotField dataField="1" showAll="0"/>
  </pivotFields>
  <rowFields count="1">
    <field x="1"/>
  </rowFields>
  <rowItems count="12">
    <i>
      <x/>
    </i>
    <i>
      <x v="1"/>
    </i>
    <i>
      <x v="2"/>
    </i>
    <i>
      <x v="3"/>
    </i>
    <i>
      <x v="4"/>
    </i>
    <i>
      <x v="5"/>
    </i>
    <i>
      <x v="6"/>
    </i>
    <i>
      <x v="7"/>
    </i>
    <i>
      <x v="8"/>
    </i>
    <i>
      <x v="9"/>
    </i>
    <i>
      <x v="10"/>
    </i>
    <i t="grand">
      <x/>
    </i>
  </rowItems>
  <colItems count="1">
    <i/>
  </colItems>
  <dataFields count="1">
    <dataField name="Sum of Expens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9C5CFA-2697-46D2-9D04-AC8F8F686E68}" name="Table1" displayName="Table1" ref="A1:D51" totalsRowShown="0" tableBorderDxfId="4">
  <autoFilter ref="A1:D51" xr:uid="{1B9C5CFA-2697-46D2-9D04-AC8F8F686E68}"/>
  <tableColumns count="4">
    <tableColumn id="1" xr3:uid="{2F789030-EC14-468F-8CB0-1B61B8EB9B5D}" name="Date" dataDxfId="3"/>
    <tableColumn id="2" xr3:uid="{EA568B6D-2E91-4D4D-98BC-F48F1361EF62}" name="Items" dataDxfId="2"/>
    <tableColumn id="3" xr3:uid="{8A87DA6F-6F4B-4C1A-BD24-A24B76886B71}" name="Expense" dataDxfId="1"/>
    <tableColumn id="4" xr3:uid="{36C31AB1-8D12-4E4F-B252-9CD37885D1E0}" name="Percentage" dataDxfId="0" dataCellStyle="Percent">
      <calculatedColumnFormula>C2/$C$52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1EDB-4111-4108-AE13-E87435831A10}">
  <dimension ref="A1:B15"/>
  <sheetViews>
    <sheetView workbookViewId="0">
      <selection activeCell="C12" sqref="C12"/>
    </sheetView>
  </sheetViews>
  <sheetFormatPr defaultRowHeight="14.4" x14ac:dyDescent="0.3"/>
  <cols>
    <col min="1" max="1" width="18.33203125" bestFit="1" customWidth="1"/>
    <col min="2" max="2" width="14.44140625" bestFit="1" customWidth="1"/>
  </cols>
  <sheetData>
    <row r="1" spans="1:2" ht="23.4" x14ac:dyDescent="0.3">
      <c r="B1" s="16" t="s">
        <v>17</v>
      </c>
    </row>
    <row r="3" spans="1:2" x14ac:dyDescent="0.3">
      <c r="A3" s="12" t="s">
        <v>24</v>
      </c>
      <c r="B3" t="s">
        <v>26</v>
      </c>
    </row>
    <row r="4" spans="1:2" x14ac:dyDescent="0.3">
      <c r="A4" s="13" t="s">
        <v>5</v>
      </c>
      <c r="B4" s="14">
        <v>3217</v>
      </c>
    </row>
    <row r="5" spans="1:2" x14ac:dyDescent="0.3">
      <c r="A5" s="13" t="s">
        <v>12</v>
      </c>
      <c r="B5" s="14">
        <v>12000</v>
      </c>
    </row>
    <row r="6" spans="1:2" x14ac:dyDescent="0.3">
      <c r="A6" s="13" t="s">
        <v>4</v>
      </c>
      <c r="B6" s="14">
        <v>10194.1</v>
      </c>
    </row>
    <row r="7" spans="1:2" x14ac:dyDescent="0.3">
      <c r="A7" s="13" t="s">
        <v>7</v>
      </c>
      <c r="B7" s="14">
        <v>1857</v>
      </c>
    </row>
    <row r="8" spans="1:2" x14ac:dyDescent="0.3">
      <c r="A8" s="13" t="s">
        <v>3</v>
      </c>
      <c r="B8" s="14">
        <v>7464</v>
      </c>
    </row>
    <row r="9" spans="1:2" x14ac:dyDescent="0.3">
      <c r="A9" s="13" t="s">
        <v>8</v>
      </c>
      <c r="B9" s="14">
        <v>2586</v>
      </c>
    </row>
    <row r="10" spans="1:2" x14ac:dyDescent="0.3">
      <c r="A10" s="13" t="s">
        <v>11</v>
      </c>
      <c r="B10" s="14">
        <v>1411.26</v>
      </c>
    </row>
    <row r="11" spans="1:2" x14ac:dyDescent="0.3">
      <c r="A11" s="13" t="s">
        <v>2</v>
      </c>
      <c r="B11" s="14">
        <v>7775</v>
      </c>
    </row>
    <row r="12" spans="1:2" x14ac:dyDescent="0.3">
      <c r="A12" s="13" t="s">
        <v>10</v>
      </c>
      <c r="B12" s="14">
        <v>5688</v>
      </c>
    </row>
    <row r="13" spans="1:2" x14ac:dyDescent="0.3">
      <c r="A13" s="13" t="s">
        <v>6</v>
      </c>
      <c r="B13" s="14">
        <v>3342</v>
      </c>
    </row>
    <row r="14" spans="1:2" x14ac:dyDescent="0.3">
      <c r="A14" s="13" t="s">
        <v>9</v>
      </c>
      <c r="B14" s="14">
        <v>1510.9099999999999</v>
      </c>
    </row>
    <row r="15" spans="1:2" x14ac:dyDescent="0.3">
      <c r="A15" s="13" t="s">
        <v>25</v>
      </c>
      <c r="B15" s="14">
        <v>57045.270000000004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92A68-AF1C-4C12-B90C-E5818377D5FF}">
  <dimension ref="A3:B14"/>
  <sheetViews>
    <sheetView workbookViewId="0">
      <selection activeCell="P19" sqref="P19"/>
    </sheetView>
  </sheetViews>
  <sheetFormatPr defaultRowHeight="14.4" x14ac:dyDescent="0.3"/>
  <cols>
    <col min="1" max="1" width="18.33203125" bestFit="1" customWidth="1"/>
    <col min="2" max="3" width="17" bestFit="1" customWidth="1"/>
  </cols>
  <sheetData>
    <row r="3" spans="1:2" x14ac:dyDescent="0.3">
      <c r="A3" s="12" t="s">
        <v>24</v>
      </c>
      <c r="B3" t="s">
        <v>29</v>
      </c>
    </row>
    <row r="4" spans="1:2" x14ac:dyDescent="0.3">
      <c r="A4" s="13" t="s">
        <v>9</v>
      </c>
      <c r="B4" s="17">
        <v>2.6486157397449431E-2</v>
      </c>
    </row>
    <row r="5" spans="1:2" x14ac:dyDescent="0.3">
      <c r="A5" s="13" t="s">
        <v>6</v>
      </c>
      <c r="B5" s="17">
        <v>5.8585050083907055E-2</v>
      </c>
    </row>
    <row r="6" spans="1:2" x14ac:dyDescent="0.3">
      <c r="A6" s="13" t="s">
        <v>10</v>
      </c>
      <c r="B6" s="17">
        <v>9.9710282728085964E-2</v>
      </c>
    </row>
    <row r="7" spans="1:2" x14ac:dyDescent="0.3">
      <c r="A7" s="13" t="s">
        <v>2</v>
      </c>
      <c r="B7" s="17">
        <v>0.13629526164044803</v>
      </c>
    </row>
    <row r="8" spans="1:2" x14ac:dyDescent="0.3">
      <c r="A8" s="13" t="s">
        <v>11</v>
      </c>
      <c r="B8" s="17">
        <v>2.4739299156617191E-2</v>
      </c>
    </row>
    <row r="9" spans="1:2" x14ac:dyDescent="0.3">
      <c r="A9" s="13" t="s">
        <v>8</v>
      </c>
      <c r="B9" s="17">
        <v>4.5332417569414613E-2</v>
      </c>
    </row>
    <row r="10" spans="1:2" x14ac:dyDescent="0.3">
      <c r="A10" s="13" t="s">
        <v>3</v>
      </c>
      <c r="B10" s="17">
        <v>0.13084345117483009</v>
      </c>
    </row>
    <row r="11" spans="1:2" x14ac:dyDescent="0.3">
      <c r="A11" s="13" t="s">
        <v>7</v>
      </c>
      <c r="B11" s="17">
        <v>3.2553093359011187E-2</v>
      </c>
    </row>
    <row r="12" spans="1:2" x14ac:dyDescent="0.3">
      <c r="A12" s="13" t="s">
        <v>4</v>
      </c>
      <c r="B12" s="17">
        <v>0.17870193269310497</v>
      </c>
    </row>
    <row r="13" spans="1:2" x14ac:dyDescent="0.3">
      <c r="A13" s="13" t="s">
        <v>5</v>
      </c>
      <c r="B13" s="17">
        <v>5.639380793534679E-2</v>
      </c>
    </row>
    <row r="14" spans="1:2" x14ac:dyDescent="0.3">
      <c r="A14" s="13" t="s">
        <v>25</v>
      </c>
      <c r="B14" s="17">
        <v>0.7896407537382153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F6A68-2638-412F-8572-354D8FD58756}">
  <dimension ref="A3:E16"/>
  <sheetViews>
    <sheetView workbookViewId="0">
      <selection activeCell="K22" sqref="K22"/>
    </sheetView>
  </sheetViews>
  <sheetFormatPr defaultRowHeight="14.4" x14ac:dyDescent="0.3"/>
  <cols>
    <col min="1" max="1" width="18.33203125" bestFit="1" customWidth="1"/>
    <col min="2" max="2" width="15.5546875" bestFit="1" customWidth="1"/>
    <col min="3" max="4" width="9" bestFit="1" customWidth="1"/>
    <col min="5" max="5" width="10.77734375" bestFit="1" customWidth="1"/>
    <col min="6" max="6" width="12.33203125" bestFit="1" customWidth="1"/>
    <col min="7" max="7" width="15.109375" bestFit="1" customWidth="1"/>
    <col min="8" max="8" width="12.33203125" bestFit="1" customWidth="1"/>
    <col min="9" max="9" width="15.109375" bestFit="1" customWidth="1"/>
    <col min="10" max="10" width="12.33203125" bestFit="1" customWidth="1"/>
    <col min="11" max="11" width="15.109375" bestFit="1" customWidth="1"/>
    <col min="12" max="12" width="12.33203125" bestFit="1" customWidth="1"/>
    <col min="13" max="13" width="15.109375" bestFit="1" customWidth="1"/>
    <col min="14" max="14" width="12.33203125" bestFit="1" customWidth="1"/>
    <col min="15" max="15" width="15.109375" bestFit="1" customWidth="1"/>
    <col min="16" max="16" width="12.33203125" bestFit="1" customWidth="1"/>
    <col min="17" max="17" width="15.109375" bestFit="1" customWidth="1"/>
    <col min="18" max="18" width="12.33203125" bestFit="1" customWidth="1"/>
    <col min="19" max="19" width="15.109375" bestFit="1" customWidth="1"/>
    <col min="20" max="20" width="12.33203125" bestFit="1" customWidth="1"/>
    <col min="21" max="21" width="15.109375" bestFit="1" customWidth="1"/>
    <col min="22" max="22" width="12.33203125" bestFit="1" customWidth="1"/>
    <col min="23" max="23" width="15.109375" bestFit="1" customWidth="1"/>
    <col min="24" max="24" width="12.33203125" bestFit="1" customWidth="1"/>
    <col min="25" max="25" width="15.109375" bestFit="1" customWidth="1"/>
    <col min="26" max="26" width="12.33203125" bestFit="1" customWidth="1"/>
    <col min="27" max="27" width="15.109375" bestFit="1" customWidth="1"/>
    <col min="28" max="28" width="12.33203125" bestFit="1" customWidth="1"/>
    <col min="29" max="29" width="15.109375" bestFit="1" customWidth="1"/>
    <col min="30" max="30" width="12.33203125" bestFit="1" customWidth="1"/>
    <col min="31" max="31" width="15.109375" bestFit="1" customWidth="1"/>
    <col min="32" max="32" width="12.33203125" bestFit="1" customWidth="1"/>
    <col min="33" max="33" width="15.109375" bestFit="1" customWidth="1"/>
    <col min="34" max="34" width="12.33203125" bestFit="1" customWidth="1"/>
    <col min="35" max="35" width="15.109375" bestFit="1" customWidth="1"/>
    <col min="36" max="36" width="12.33203125" bestFit="1" customWidth="1"/>
    <col min="37" max="37" width="15.109375" bestFit="1" customWidth="1"/>
    <col min="38" max="38" width="12.33203125" bestFit="1" customWidth="1"/>
    <col min="39" max="39" width="15.109375" bestFit="1" customWidth="1"/>
    <col min="40" max="40" width="12.33203125" bestFit="1" customWidth="1"/>
    <col min="41" max="41" width="15.109375" bestFit="1" customWidth="1"/>
    <col min="42" max="42" width="12.33203125" bestFit="1" customWidth="1"/>
    <col min="43" max="43" width="15.109375" bestFit="1" customWidth="1"/>
    <col min="44" max="44" width="12.33203125" bestFit="1" customWidth="1"/>
    <col min="45" max="45" width="15.109375" bestFit="1" customWidth="1"/>
    <col min="46" max="46" width="12.33203125" bestFit="1" customWidth="1"/>
    <col min="47" max="47" width="15.109375" bestFit="1" customWidth="1"/>
    <col min="48" max="48" width="12.33203125" bestFit="1" customWidth="1"/>
    <col min="49" max="49" width="15.109375" bestFit="1" customWidth="1"/>
    <col min="50" max="50" width="12.33203125" bestFit="1" customWidth="1"/>
    <col min="51" max="51" width="15.109375" bestFit="1" customWidth="1"/>
    <col min="52" max="52" width="12.33203125" bestFit="1" customWidth="1"/>
    <col min="53" max="53" width="15.109375" bestFit="1" customWidth="1"/>
    <col min="54" max="54" width="12.33203125" bestFit="1" customWidth="1"/>
    <col min="55" max="55" width="15.109375" bestFit="1" customWidth="1"/>
    <col min="56" max="56" width="12.33203125" bestFit="1" customWidth="1"/>
    <col min="57" max="57" width="15.109375" bestFit="1" customWidth="1"/>
    <col min="58" max="58" width="12.33203125" bestFit="1" customWidth="1"/>
    <col min="59" max="59" width="15.109375" bestFit="1" customWidth="1"/>
    <col min="60" max="60" width="12.33203125" bestFit="1" customWidth="1"/>
    <col min="61" max="61" width="15.109375" bestFit="1" customWidth="1"/>
    <col min="62" max="62" width="12.33203125" bestFit="1" customWidth="1"/>
    <col min="63" max="63" width="15.109375" bestFit="1" customWidth="1"/>
    <col min="64" max="64" width="12.33203125" bestFit="1" customWidth="1"/>
    <col min="65" max="65" width="15.109375" bestFit="1" customWidth="1"/>
    <col min="66" max="66" width="12.33203125" bestFit="1" customWidth="1"/>
    <col min="67" max="67" width="15.109375" bestFit="1" customWidth="1"/>
    <col min="68" max="68" width="12.33203125" bestFit="1" customWidth="1"/>
    <col min="69" max="69" width="15.109375" bestFit="1" customWidth="1"/>
    <col min="70" max="70" width="12.33203125" bestFit="1" customWidth="1"/>
    <col min="71" max="71" width="15.109375" bestFit="1" customWidth="1"/>
    <col min="72" max="72" width="12.33203125" bestFit="1" customWidth="1"/>
    <col min="73" max="73" width="15.109375" bestFit="1" customWidth="1"/>
    <col min="74" max="74" width="12.33203125" bestFit="1" customWidth="1"/>
    <col min="75" max="75" width="15.109375" bestFit="1" customWidth="1"/>
    <col min="76" max="76" width="12.33203125" bestFit="1" customWidth="1"/>
    <col min="77" max="77" width="15.109375" bestFit="1" customWidth="1"/>
    <col min="78" max="78" width="12.33203125" bestFit="1" customWidth="1"/>
    <col min="79" max="79" width="15.109375" bestFit="1" customWidth="1"/>
    <col min="80" max="80" width="10.77734375" bestFit="1" customWidth="1"/>
  </cols>
  <sheetData>
    <row r="3" spans="1:5" x14ac:dyDescent="0.3">
      <c r="A3" s="12" t="s">
        <v>26</v>
      </c>
      <c r="B3" s="12" t="s">
        <v>27</v>
      </c>
    </row>
    <row r="4" spans="1:5" x14ac:dyDescent="0.3">
      <c r="A4" s="12" t="s">
        <v>24</v>
      </c>
      <c r="B4" t="s">
        <v>30</v>
      </c>
      <c r="C4" t="s">
        <v>31</v>
      </c>
      <c r="D4" t="s">
        <v>32</v>
      </c>
      <c r="E4" t="s">
        <v>25</v>
      </c>
    </row>
    <row r="5" spans="1:5" x14ac:dyDescent="0.3">
      <c r="A5" s="13" t="s">
        <v>9</v>
      </c>
      <c r="B5" s="14">
        <v>1188.27</v>
      </c>
      <c r="C5" s="14">
        <v>322.64</v>
      </c>
      <c r="D5" s="14"/>
      <c r="E5" s="14">
        <v>1510.9099999999999</v>
      </c>
    </row>
    <row r="6" spans="1:5" x14ac:dyDescent="0.3">
      <c r="A6" s="13" t="s">
        <v>6</v>
      </c>
      <c r="B6" s="14">
        <v>1310</v>
      </c>
      <c r="C6" s="14">
        <v>1392</v>
      </c>
      <c r="D6" s="14">
        <v>640</v>
      </c>
      <c r="E6" s="14">
        <v>3342</v>
      </c>
    </row>
    <row r="7" spans="1:5" x14ac:dyDescent="0.3">
      <c r="A7" s="13" t="s">
        <v>10</v>
      </c>
      <c r="B7" s="14">
        <v>1900</v>
      </c>
      <c r="C7" s="14">
        <v>2288</v>
      </c>
      <c r="D7" s="14">
        <v>1500</v>
      </c>
      <c r="E7" s="14">
        <v>5688</v>
      </c>
    </row>
    <row r="8" spans="1:5" x14ac:dyDescent="0.3">
      <c r="A8" s="13" t="s">
        <v>2</v>
      </c>
      <c r="B8" s="14">
        <v>3375</v>
      </c>
      <c r="C8" s="14">
        <v>2100</v>
      </c>
      <c r="D8" s="14">
        <v>2300</v>
      </c>
      <c r="E8" s="14">
        <v>7775</v>
      </c>
    </row>
    <row r="9" spans="1:5" x14ac:dyDescent="0.3">
      <c r="A9" s="13" t="s">
        <v>11</v>
      </c>
      <c r="B9" s="14">
        <v>470</v>
      </c>
      <c r="C9" s="14">
        <v>470.63</v>
      </c>
      <c r="D9" s="14">
        <v>470.63</v>
      </c>
      <c r="E9" s="14">
        <v>1411.26</v>
      </c>
    </row>
    <row r="10" spans="1:5" x14ac:dyDescent="0.3">
      <c r="A10" s="13" t="s">
        <v>8</v>
      </c>
      <c r="B10" s="14">
        <v>1140</v>
      </c>
      <c r="C10" s="14">
        <v>1446</v>
      </c>
      <c r="D10" s="14"/>
      <c r="E10" s="14">
        <v>2586</v>
      </c>
    </row>
    <row r="11" spans="1:5" x14ac:dyDescent="0.3">
      <c r="A11" s="13" t="s">
        <v>3</v>
      </c>
      <c r="B11" s="14">
        <v>1737</v>
      </c>
      <c r="C11" s="14">
        <v>5727</v>
      </c>
      <c r="D11" s="14"/>
      <c r="E11" s="14">
        <v>7464</v>
      </c>
    </row>
    <row r="12" spans="1:5" x14ac:dyDescent="0.3">
      <c r="A12" s="13" t="s">
        <v>7</v>
      </c>
      <c r="B12" s="14">
        <v>939</v>
      </c>
      <c r="C12" s="14">
        <v>651</v>
      </c>
      <c r="D12" s="14">
        <v>267</v>
      </c>
      <c r="E12" s="14">
        <v>1857</v>
      </c>
    </row>
    <row r="13" spans="1:5" x14ac:dyDescent="0.3">
      <c r="A13" s="13" t="s">
        <v>4</v>
      </c>
      <c r="B13" s="14">
        <v>4374.1000000000004</v>
      </c>
      <c r="C13" s="14">
        <v>3320</v>
      </c>
      <c r="D13" s="14">
        <v>2500</v>
      </c>
      <c r="E13" s="14">
        <v>10194.1</v>
      </c>
    </row>
    <row r="14" spans="1:5" x14ac:dyDescent="0.3">
      <c r="A14" s="13" t="s">
        <v>12</v>
      </c>
      <c r="B14" s="14"/>
      <c r="C14" s="14"/>
      <c r="D14" s="14">
        <v>12000</v>
      </c>
      <c r="E14" s="14">
        <v>12000</v>
      </c>
    </row>
    <row r="15" spans="1:5" x14ac:dyDescent="0.3">
      <c r="A15" s="13" t="s">
        <v>5</v>
      </c>
      <c r="B15" s="14">
        <v>1010</v>
      </c>
      <c r="C15" s="14">
        <v>1047</v>
      </c>
      <c r="D15" s="14">
        <v>1160</v>
      </c>
      <c r="E15" s="14">
        <v>3217</v>
      </c>
    </row>
    <row r="16" spans="1:5" x14ac:dyDescent="0.3">
      <c r="A16" s="13" t="s">
        <v>25</v>
      </c>
      <c r="B16" s="14">
        <v>17443.370000000003</v>
      </c>
      <c r="C16" s="14">
        <v>18764.27</v>
      </c>
      <c r="D16" s="14">
        <v>20837.63</v>
      </c>
      <c r="E16" s="14">
        <v>57045.27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tabSelected="1" topLeftCell="B1" zoomScale="145" zoomScaleNormal="145" workbookViewId="0">
      <selection activeCell="F2" sqref="F2"/>
    </sheetView>
  </sheetViews>
  <sheetFormatPr defaultRowHeight="14.4" x14ac:dyDescent="0.3"/>
  <cols>
    <col min="1" max="1" width="17.109375" customWidth="1"/>
    <col min="2" max="2" width="24.5546875" customWidth="1"/>
    <col min="3" max="3" width="14.44140625" style="9" customWidth="1"/>
    <col min="4" max="4" width="11.6640625" customWidth="1"/>
    <col min="5" max="5" width="12.88671875" bestFit="1" customWidth="1"/>
  </cols>
  <sheetData>
    <row r="1" spans="1:7" ht="13.8" customHeight="1" x14ac:dyDescent="0.3">
      <c r="A1" s="19" t="s">
        <v>0</v>
      </c>
      <c r="B1" s="3" t="s">
        <v>14</v>
      </c>
      <c r="C1" s="6" t="s">
        <v>1</v>
      </c>
      <c r="D1" t="s">
        <v>28</v>
      </c>
      <c r="E1" t="s">
        <v>33</v>
      </c>
      <c r="F1" t="s">
        <v>34</v>
      </c>
    </row>
    <row r="2" spans="1:7" ht="18" customHeight="1" x14ac:dyDescent="0.3">
      <c r="A2" s="20">
        <v>44470</v>
      </c>
      <c r="B2" s="4" t="s">
        <v>2</v>
      </c>
      <c r="C2" s="7">
        <v>2300</v>
      </c>
      <c r="D2" s="18">
        <f>C2/$C$52</f>
        <v>4.0318855533508738E-2</v>
      </c>
      <c r="E2" t="str">
        <f>IF(C2&gt;2000,"Over Budget","Within Budget")</f>
        <v>Over Budget</v>
      </c>
    </row>
    <row r="3" spans="1:7" x14ac:dyDescent="0.3">
      <c r="A3" s="21">
        <v>44470</v>
      </c>
      <c r="B3" s="5" t="s">
        <v>3</v>
      </c>
      <c r="C3" s="7">
        <v>767</v>
      </c>
      <c r="D3" s="18">
        <f t="shared" ref="D3:D51" si="0">C3/$C$52</f>
        <v>1.344546182356574E-2</v>
      </c>
      <c r="E3" t="str">
        <f t="shared" ref="E3:E51" si="1">IF(C3&gt;2000,"Over Budget","Within Budget")</f>
        <v>Within Budget</v>
      </c>
      <c r="G3">
        <f>COUNTIF(B2:B51,"Online shopping")+COUNTIF(B2:B51,"Ordering food")+COUNTIF(B2:B51,"Gifts")</f>
        <v>15</v>
      </c>
    </row>
    <row r="4" spans="1:7" x14ac:dyDescent="0.3">
      <c r="A4" s="21">
        <v>44470</v>
      </c>
      <c r="B4" s="5" t="s">
        <v>4</v>
      </c>
      <c r="C4" s="8">
        <v>2500</v>
      </c>
      <c r="D4" s="18">
        <f t="shared" si="0"/>
        <v>4.3824842971205154E-2</v>
      </c>
      <c r="E4" t="str">
        <f t="shared" si="1"/>
        <v>Over Budget</v>
      </c>
    </row>
    <row r="5" spans="1:7" x14ac:dyDescent="0.3">
      <c r="A5" s="21">
        <v>44473</v>
      </c>
      <c r="B5" s="5" t="s">
        <v>5</v>
      </c>
      <c r="C5" s="7">
        <v>710</v>
      </c>
      <c r="D5" s="18">
        <f t="shared" si="0"/>
        <v>1.2446255403822264E-2</v>
      </c>
      <c r="E5" t="str">
        <f t="shared" si="1"/>
        <v>Within Budget</v>
      </c>
    </row>
    <row r="6" spans="1:7" x14ac:dyDescent="0.3">
      <c r="A6" s="20">
        <v>44473</v>
      </c>
      <c r="B6" s="4" t="s">
        <v>6</v>
      </c>
      <c r="C6" s="7">
        <v>760</v>
      </c>
      <c r="D6" s="18">
        <f t="shared" si="0"/>
        <v>1.3322752263246366E-2</v>
      </c>
      <c r="E6" t="str">
        <f t="shared" si="1"/>
        <v>Within Budget</v>
      </c>
    </row>
    <row r="7" spans="1:7" x14ac:dyDescent="0.3">
      <c r="A7" s="21">
        <v>44476</v>
      </c>
      <c r="B7" s="5" t="s">
        <v>10</v>
      </c>
      <c r="C7" s="8">
        <v>1900</v>
      </c>
      <c r="D7" s="18">
        <f t="shared" si="0"/>
        <v>3.3306880658115913E-2</v>
      </c>
      <c r="E7" t="str">
        <f t="shared" si="1"/>
        <v>Within Budget</v>
      </c>
    </row>
    <row r="8" spans="1:7" x14ac:dyDescent="0.3">
      <c r="A8" s="20">
        <v>44477</v>
      </c>
      <c r="B8" s="4" t="s">
        <v>7</v>
      </c>
      <c r="C8" s="7">
        <v>450</v>
      </c>
      <c r="D8" s="18">
        <f t="shared" si="0"/>
        <v>7.8884717348169271E-3</v>
      </c>
      <c r="E8" t="str">
        <f t="shared" si="1"/>
        <v>Within Budget</v>
      </c>
    </row>
    <row r="9" spans="1:7" x14ac:dyDescent="0.3">
      <c r="A9" s="21">
        <v>44484</v>
      </c>
      <c r="B9" s="5" t="s">
        <v>8</v>
      </c>
      <c r="C9" s="7">
        <v>620</v>
      </c>
      <c r="D9" s="18">
        <f t="shared" si="0"/>
        <v>1.0868561056858878E-2</v>
      </c>
      <c r="E9" t="str">
        <f t="shared" si="1"/>
        <v>Within Budget</v>
      </c>
    </row>
    <row r="10" spans="1:7" x14ac:dyDescent="0.3">
      <c r="A10" s="21">
        <v>44485</v>
      </c>
      <c r="B10" s="5" t="s">
        <v>11</v>
      </c>
      <c r="C10" s="7">
        <v>470</v>
      </c>
      <c r="D10" s="18">
        <f t="shared" si="0"/>
        <v>8.2390704785865691E-3</v>
      </c>
      <c r="E10" t="str">
        <f t="shared" si="1"/>
        <v>Within Budget</v>
      </c>
    </row>
    <row r="11" spans="1:7" x14ac:dyDescent="0.3">
      <c r="A11" s="21">
        <v>44487</v>
      </c>
      <c r="B11" s="5" t="s">
        <v>3</v>
      </c>
      <c r="C11" s="7">
        <v>970</v>
      </c>
      <c r="D11" s="18">
        <f t="shared" si="0"/>
        <v>1.70040390728276E-2</v>
      </c>
      <c r="E11" t="str">
        <f t="shared" si="1"/>
        <v>Within Budget</v>
      </c>
    </row>
    <row r="12" spans="1:7" x14ac:dyDescent="0.3">
      <c r="A12" s="21">
        <v>44487</v>
      </c>
      <c r="B12" s="4" t="s">
        <v>2</v>
      </c>
      <c r="C12" s="8">
        <v>1075</v>
      </c>
      <c r="D12" s="18">
        <f t="shared" si="0"/>
        <v>1.8844682477618214E-2</v>
      </c>
      <c r="E12" t="str">
        <f t="shared" si="1"/>
        <v>Within Budget</v>
      </c>
    </row>
    <row r="13" spans="1:7" x14ac:dyDescent="0.3">
      <c r="A13" s="21">
        <v>44488</v>
      </c>
      <c r="B13" s="5" t="s">
        <v>7</v>
      </c>
      <c r="C13" s="7">
        <v>489</v>
      </c>
      <c r="D13" s="18">
        <f t="shared" si="0"/>
        <v>8.5721392851677274E-3</v>
      </c>
      <c r="E13" t="str">
        <f t="shared" si="1"/>
        <v>Within Budget</v>
      </c>
    </row>
    <row r="14" spans="1:7" x14ac:dyDescent="0.3">
      <c r="A14" s="21">
        <v>44491</v>
      </c>
      <c r="B14" s="5" t="s">
        <v>4</v>
      </c>
      <c r="C14" s="8">
        <v>1574.1</v>
      </c>
      <c r="D14" s="18">
        <f t="shared" si="0"/>
        <v>2.7593874128389609E-2</v>
      </c>
      <c r="E14" t="str">
        <f t="shared" si="1"/>
        <v>Within Budget</v>
      </c>
    </row>
    <row r="15" spans="1:7" x14ac:dyDescent="0.3">
      <c r="A15" s="21">
        <v>44491</v>
      </c>
      <c r="B15" s="5" t="s">
        <v>6</v>
      </c>
      <c r="C15" s="7">
        <v>550</v>
      </c>
      <c r="D15" s="18">
        <f t="shared" si="0"/>
        <v>9.6414654536651333E-3</v>
      </c>
      <c r="E15" t="str">
        <f t="shared" si="1"/>
        <v>Within Budget</v>
      </c>
    </row>
    <row r="16" spans="1:7" x14ac:dyDescent="0.3">
      <c r="A16" s="21">
        <v>44494</v>
      </c>
      <c r="B16" s="5" t="s">
        <v>9</v>
      </c>
      <c r="C16" s="7">
        <v>423</v>
      </c>
      <c r="D16" s="18">
        <f t="shared" si="0"/>
        <v>7.4151634307279115E-3</v>
      </c>
      <c r="E16" t="str">
        <f t="shared" si="1"/>
        <v>Within Budget</v>
      </c>
    </row>
    <row r="17" spans="1:5" x14ac:dyDescent="0.3">
      <c r="A17" s="21">
        <v>44496</v>
      </c>
      <c r="B17" s="5" t="s">
        <v>9</v>
      </c>
      <c r="C17" s="7">
        <v>358.22</v>
      </c>
      <c r="D17" s="18">
        <f t="shared" si="0"/>
        <v>6.2795740996580444E-3</v>
      </c>
      <c r="E17" t="str">
        <f t="shared" si="1"/>
        <v>Within Budget</v>
      </c>
    </row>
    <row r="18" spans="1:5" x14ac:dyDescent="0.3">
      <c r="A18" s="21">
        <v>44496</v>
      </c>
      <c r="B18" s="5" t="s">
        <v>8</v>
      </c>
      <c r="C18" s="7">
        <v>520</v>
      </c>
      <c r="D18" s="18">
        <f t="shared" si="0"/>
        <v>9.1155673380106713E-3</v>
      </c>
      <c r="E18" t="str">
        <f t="shared" si="1"/>
        <v>Within Budget</v>
      </c>
    </row>
    <row r="19" spans="1:5" x14ac:dyDescent="0.3">
      <c r="A19" s="20">
        <v>44497</v>
      </c>
      <c r="B19" s="4" t="s">
        <v>5</v>
      </c>
      <c r="C19" s="7">
        <v>300</v>
      </c>
      <c r="D19" s="18">
        <f t="shared" si="0"/>
        <v>5.2589811565446187E-3</v>
      </c>
      <c r="E19" t="str">
        <f t="shared" si="1"/>
        <v>Within Budget</v>
      </c>
    </row>
    <row r="20" spans="1:5" x14ac:dyDescent="0.3">
      <c r="A20" s="20">
        <v>44498</v>
      </c>
      <c r="B20" s="4" t="s">
        <v>9</v>
      </c>
      <c r="C20" s="7">
        <v>407.05</v>
      </c>
      <c r="D20" s="18">
        <f t="shared" si="0"/>
        <v>7.1355609325716232E-3</v>
      </c>
      <c r="E20" t="str">
        <f t="shared" si="1"/>
        <v>Within Budget</v>
      </c>
    </row>
    <row r="21" spans="1:5" x14ac:dyDescent="0.3">
      <c r="A21" s="20">
        <v>44499</v>
      </c>
      <c r="B21" s="4" t="s">
        <v>4</v>
      </c>
      <c r="C21" s="7">
        <v>300</v>
      </c>
      <c r="D21" s="18">
        <f t="shared" si="0"/>
        <v>5.2589811565446187E-3</v>
      </c>
      <c r="E21" t="str">
        <f t="shared" si="1"/>
        <v>Within Budget</v>
      </c>
    </row>
    <row r="22" spans="1:5" x14ac:dyDescent="0.3">
      <c r="A22" s="21">
        <v>44501</v>
      </c>
      <c r="B22" s="5" t="s">
        <v>3</v>
      </c>
      <c r="C22" s="8">
        <v>2327</v>
      </c>
      <c r="D22" s="18">
        <f t="shared" si="0"/>
        <v>4.0792163837597754E-2</v>
      </c>
      <c r="E22" t="str">
        <f t="shared" si="1"/>
        <v>Over Budget</v>
      </c>
    </row>
    <row r="23" spans="1:5" x14ac:dyDescent="0.3">
      <c r="A23" s="21">
        <v>44502</v>
      </c>
      <c r="B23" s="5" t="s">
        <v>10</v>
      </c>
      <c r="C23" s="7">
        <v>1150</v>
      </c>
      <c r="D23" s="18">
        <f t="shared" si="0"/>
        <v>2.0159427766754369E-2</v>
      </c>
      <c r="E23" t="str">
        <f t="shared" si="1"/>
        <v>Within Budget</v>
      </c>
    </row>
    <row r="24" spans="1:5" x14ac:dyDescent="0.3">
      <c r="A24" s="21">
        <v>44504</v>
      </c>
      <c r="B24" s="5" t="s">
        <v>10</v>
      </c>
      <c r="C24" s="8">
        <v>1138</v>
      </c>
      <c r="D24" s="18">
        <f t="shared" si="0"/>
        <v>1.9949068520492587E-2</v>
      </c>
      <c r="E24" t="str">
        <f t="shared" si="1"/>
        <v>Within Budget</v>
      </c>
    </row>
    <row r="25" spans="1:5" x14ac:dyDescent="0.3">
      <c r="A25" s="20">
        <v>44505</v>
      </c>
      <c r="B25" s="4" t="s">
        <v>13</v>
      </c>
      <c r="C25" s="7">
        <v>500</v>
      </c>
      <c r="D25" s="18">
        <f t="shared" si="0"/>
        <v>8.7649685942410311E-3</v>
      </c>
      <c r="E25" t="str">
        <f t="shared" si="1"/>
        <v>Within Budget</v>
      </c>
    </row>
    <row r="26" spans="1:5" x14ac:dyDescent="0.3">
      <c r="A26" s="20">
        <v>44508</v>
      </c>
      <c r="B26" s="4" t="s">
        <v>6</v>
      </c>
      <c r="C26" s="7">
        <v>702</v>
      </c>
      <c r="D26" s="18">
        <f t="shared" si="0"/>
        <v>1.2306015906314407E-2</v>
      </c>
      <c r="E26" t="str">
        <f t="shared" si="1"/>
        <v>Within Budget</v>
      </c>
    </row>
    <row r="27" spans="1:5" x14ac:dyDescent="0.3">
      <c r="A27" s="21">
        <v>44509</v>
      </c>
      <c r="B27" s="5" t="s">
        <v>4</v>
      </c>
      <c r="C27" s="8">
        <v>1600</v>
      </c>
      <c r="D27" s="18">
        <f t="shared" si="0"/>
        <v>2.8047899501571296E-2</v>
      </c>
      <c r="E27" t="str">
        <f t="shared" si="1"/>
        <v>Within Budget</v>
      </c>
    </row>
    <row r="28" spans="1:5" x14ac:dyDescent="0.3">
      <c r="A28" s="21">
        <v>44512</v>
      </c>
      <c r="B28" s="5" t="s">
        <v>5</v>
      </c>
      <c r="C28" s="7">
        <v>600</v>
      </c>
      <c r="D28" s="18">
        <f t="shared" si="0"/>
        <v>1.0517962313089237E-2</v>
      </c>
      <c r="E28" t="str">
        <f t="shared" si="1"/>
        <v>Within Budget</v>
      </c>
    </row>
    <row r="29" spans="1:5" ht="19.2" customHeight="1" x14ac:dyDescent="0.3">
      <c r="A29" s="20">
        <v>44515</v>
      </c>
      <c r="B29" s="4" t="s">
        <v>13</v>
      </c>
      <c r="C29" s="7">
        <v>900</v>
      </c>
      <c r="D29" s="18">
        <f t="shared" si="0"/>
        <v>1.5776943469633854E-2</v>
      </c>
      <c r="E29" t="str">
        <f t="shared" si="1"/>
        <v>Within Budget</v>
      </c>
    </row>
    <row r="30" spans="1:5" x14ac:dyDescent="0.3">
      <c r="A30" s="21">
        <v>44515</v>
      </c>
      <c r="B30" s="4" t="s">
        <v>6</v>
      </c>
      <c r="C30" s="7">
        <v>150</v>
      </c>
      <c r="D30" s="18">
        <f t="shared" si="0"/>
        <v>2.6294905782723093E-3</v>
      </c>
      <c r="E30" t="str">
        <f t="shared" si="1"/>
        <v>Within Budget</v>
      </c>
    </row>
    <row r="31" spans="1:5" x14ac:dyDescent="0.3">
      <c r="A31" s="20">
        <v>44515</v>
      </c>
      <c r="B31" s="4" t="s">
        <v>2</v>
      </c>
      <c r="C31" s="7">
        <v>2100</v>
      </c>
      <c r="D31" s="18">
        <f t="shared" si="0"/>
        <v>3.6812868095812329E-2</v>
      </c>
      <c r="E31" t="str">
        <f t="shared" si="1"/>
        <v>Over Budget</v>
      </c>
    </row>
    <row r="32" spans="1:5" x14ac:dyDescent="0.3">
      <c r="A32" s="20">
        <v>44517</v>
      </c>
      <c r="B32" s="4" t="s">
        <v>11</v>
      </c>
      <c r="C32" s="7">
        <v>470.63</v>
      </c>
      <c r="D32" s="18">
        <f t="shared" si="0"/>
        <v>8.2501143390153117E-3</v>
      </c>
      <c r="E32" t="str">
        <f t="shared" si="1"/>
        <v>Within Budget</v>
      </c>
    </row>
    <row r="33" spans="1:5" x14ac:dyDescent="0.3">
      <c r="A33" s="20">
        <v>44517</v>
      </c>
      <c r="B33" s="4" t="s">
        <v>9</v>
      </c>
      <c r="C33" s="7">
        <v>322.64</v>
      </c>
      <c r="D33" s="18">
        <f t="shared" si="0"/>
        <v>5.6558589344918517E-3</v>
      </c>
      <c r="E33" t="str">
        <f t="shared" si="1"/>
        <v>Within Budget</v>
      </c>
    </row>
    <row r="34" spans="1:5" x14ac:dyDescent="0.3">
      <c r="A34" s="20">
        <v>44518</v>
      </c>
      <c r="B34" s="5" t="s">
        <v>8</v>
      </c>
      <c r="C34" s="7">
        <v>428</v>
      </c>
      <c r="D34" s="18">
        <f t="shared" si="0"/>
        <v>7.5028131166703224E-3</v>
      </c>
      <c r="E34" t="str">
        <f t="shared" si="1"/>
        <v>Within Budget</v>
      </c>
    </row>
    <row r="35" spans="1:5" x14ac:dyDescent="0.3">
      <c r="A35" s="20">
        <v>44519</v>
      </c>
      <c r="B35" s="4" t="s">
        <v>5</v>
      </c>
      <c r="C35" s="7">
        <v>447</v>
      </c>
      <c r="D35" s="18">
        <f t="shared" si="0"/>
        <v>7.8358819232514816E-3</v>
      </c>
      <c r="E35" t="str">
        <f t="shared" si="1"/>
        <v>Within Budget</v>
      </c>
    </row>
    <row r="36" spans="1:5" x14ac:dyDescent="0.3">
      <c r="A36" s="20">
        <v>44522</v>
      </c>
      <c r="B36" s="4" t="s">
        <v>4</v>
      </c>
      <c r="C36" s="8">
        <v>1720</v>
      </c>
      <c r="D36" s="18">
        <f t="shared" si="0"/>
        <v>3.0151491964189144E-2</v>
      </c>
      <c r="E36" t="str">
        <f t="shared" si="1"/>
        <v>Within Budget</v>
      </c>
    </row>
    <row r="37" spans="1:5" x14ac:dyDescent="0.3">
      <c r="A37" s="21">
        <v>44524</v>
      </c>
      <c r="B37" s="5" t="s">
        <v>6</v>
      </c>
      <c r="C37" s="7">
        <v>540</v>
      </c>
      <c r="D37" s="18">
        <f t="shared" si="0"/>
        <v>9.4661660817803132E-3</v>
      </c>
      <c r="E37" t="str">
        <f t="shared" si="1"/>
        <v>Within Budget</v>
      </c>
    </row>
    <row r="38" spans="1:5" x14ac:dyDescent="0.3">
      <c r="A38" s="20">
        <v>44525</v>
      </c>
      <c r="B38" s="4" t="s">
        <v>7</v>
      </c>
      <c r="C38" s="7">
        <v>314</v>
      </c>
      <c r="D38" s="18">
        <f t="shared" si="0"/>
        <v>5.504400277183367E-3</v>
      </c>
      <c r="E38" t="str">
        <f t="shared" si="1"/>
        <v>Within Budget</v>
      </c>
    </row>
    <row r="39" spans="1:5" ht="18" customHeight="1" x14ac:dyDescent="0.3">
      <c r="A39" s="20">
        <v>44526</v>
      </c>
      <c r="B39" s="4" t="s">
        <v>8</v>
      </c>
      <c r="C39" s="7">
        <v>518</v>
      </c>
      <c r="D39" s="18">
        <f t="shared" si="0"/>
        <v>9.0805074636337076E-3</v>
      </c>
      <c r="E39" t="str">
        <f t="shared" si="1"/>
        <v>Within Budget</v>
      </c>
    </row>
    <row r="40" spans="1:5" ht="15.6" customHeight="1" x14ac:dyDescent="0.3">
      <c r="A40" s="20">
        <v>44526</v>
      </c>
      <c r="B40" s="5" t="s">
        <v>3</v>
      </c>
      <c r="C40" s="8">
        <v>2000</v>
      </c>
      <c r="D40" s="18">
        <f t="shared" si="0"/>
        <v>3.5059874376964124E-2</v>
      </c>
      <c r="E40" t="str">
        <f t="shared" si="1"/>
        <v>Within Budget</v>
      </c>
    </row>
    <row r="41" spans="1:5" x14ac:dyDescent="0.3">
      <c r="A41" s="21">
        <v>44529</v>
      </c>
      <c r="B41" s="5" t="s">
        <v>7</v>
      </c>
      <c r="C41" s="7">
        <v>337</v>
      </c>
      <c r="D41" s="18">
        <f t="shared" si="0"/>
        <v>5.9075888325184544E-3</v>
      </c>
      <c r="E41" t="str">
        <f t="shared" si="1"/>
        <v>Within Budget</v>
      </c>
    </row>
    <row r="42" spans="1:5" x14ac:dyDescent="0.3">
      <c r="A42" s="20">
        <v>44530</v>
      </c>
      <c r="B42" s="4" t="s">
        <v>8</v>
      </c>
      <c r="C42" s="7">
        <v>500</v>
      </c>
      <c r="D42" s="18">
        <f t="shared" si="0"/>
        <v>8.7649685942410311E-3</v>
      </c>
      <c r="E42" t="str">
        <f t="shared" si="1"/>
        <v>Within Budget</v>
      </c>
    </row>
    <row r="43" spans="1:5" x14ac:dyDescent="0.3">
      <c r="A43" s="20">
        <v>44531</v>
      </c>
      <c r="B43" s="4" t="s">
        <v>4</v>
      </c>
      <c r="C43" s="8">
        <v>2500</v>
      </c>
      <c r="D43" s="18">
        <f t="shared" si="0"/>
        <v>4.3824842971205154E-2</v>
      </c>
      <c r="E43" t="str">
        <f t="shared" si="1"/>
        <v>Over Budget</v>
      </c>
    </row>
    <row r="44" spans="1:5" x14ac:dyDescent="0.3">
      <c r="A44" s="21">
        <v>44534</v>
      </c>
      <c r="B44" s="5" t="s">
        <v>5</v>
      </c>
      <c r="C44" s="7">
        <v>710</v>
      </c>
      <c r="D44" s="18">
        <f t="shared" si="0"/>
        <v>1.2446255403822264E-2</v>
      </c>
      <c r="E44" t="str">
        <f t="shared" si="1"/>
        <v>Within Budget</v>
      </c>
    </row>
    <row r="45" spans="1:5" x14ac:dyDescent="0.3">
      <c r="A45" s="20">
        <v>44537</v>
      </c>
      <c r="B45" s="4" t="s">
        <v>2</v>
      </c>
      <c r="C45" s="7">
        <v>2300</v>
      </c>
      <c r="D45" s="18">
        <f t="shared" si="0"/>
        <v>4.0318855533508738E-2</v>
      </c>
      <c r="E45" t="str">
        <f t="shared" si="1"/>
        <v>Over Budget</v>
      </c>
    </row>
    <row r="46" spans="1:5" x14ac:dyDescent="0.3">
      <c r="A46" s="20">
        <v>44539</v>
      </c>
      <c r="B46" s="4" t="s">
        <v>12</v>
      </c>
      <c r="C46" s="7">
        <v>12000</v>
      </c>
      <c r="D46" s="18">
        <f t="shared" si="0"/>
        <v>0.21035924626178473</v>
      </c>
      <c r="E46" t="str">
        <f t="shared" si="1"/>
        <v>Over Budget</v>
      </c>
    </row>
    <row r="47" spans="1:5" x14ac:dyDescent="0.3">
      <c r="A47" s="20">
        <v>44545</v>
      </c>
      <c r="B47" s="5" t="s">
        <v>10</v>
      </c>
      <c r="C47" s="7">
        <v>1500</v>
      </c>
      <c r="D47" s="18">
        <f t="shared" si="0"/>
        <v>2.6294905782723092E-2</v>
      </c>
      <c r="E47" t="str">
        <f t="shared" si="1"/>
        <v>Within Budget</v>
      </c>
    </row>
    <row r="48" spans="1:5" x14ac:dyDescent="0.3">
      <c r="A48" s="20">
        <v>44547</v>
      </c>
      <c r="B48" s="4" t="s">
        <v>11</v>
      </c>
      <c r="C48" s="7">
        <v>470.63</v>
      </c>
      <c r="D48" s="18">
        <f t="shared" si="0"/>
        <v>8.2501143390153117E-3</v>
      </c>
      <c r="E48" t="str">
        <f t="shared" si="1"/>
        <v>Within Budget</v>
      </c>
    </row>
    <row r="49" spans="1:5" x14ac:dyDescent="0.3">
      <c r="A49" s="20">
        <v>44550</v>
      </c>
      <c r="B49" s="4" t="s">
        <v>7</v>
      </c>
      <c r="C49" s="7">
        <v>267</v>
      </c>
      <c r="D49" s="18">
        <f t="shared" si="0"/>
        <v>4.6804932293247102E-3</v>
      </c>
      <c r="E49" t="str">
        <f t="shared" si="1"/>
        <v>Within Budget</v>
      </c>
    </row>
    <row r="50" spans="1:5" x14ac:dyDescent="0.3">
      <c r="A50" s="20">
        <v>44553</v>
      </c>
      <c r="B50" s="4" t="s">
        <v>6</v>
      </c>
      <c r="C50" s="7">
        <v>640</v>
      </c>
      <c r="D50" s="18">
        <f t="shared" si="0"/>
        <v>1.1219159800628519E-2</v>
      </c>
      <c r="E50" t="str">
        <f t="shared" si="1"/>
        <v>Within Budget</v>
      </c>
    </row>
    <row r="51" spans="1:5" x14ac:dyDescent="0.3">
      <c r="A51" s="20">
        <v>44553</v>
      </c>
      <c r="B51" s="4" t="s">
        <v>5</v>
      </c>
      <c r="C51" s="7">
        <v>450</v>
      </c>
      <c r="D51" s="18">
        <f t="shared" si="0"/>
        <v>7.8884717348169271E-3</v>
      </c>
      <c r="E51" t="str">
        <f t="shared" si="1"/>
        <v>Within Budget</v>
      </c>
    </row>
    <row r="52" spans="1:5" ht="31.2" x14ac:dyDescent="0.3">
      <c r="A52" s="2"/>
      <c r="C52" s="9">
        <f>SUM(C2:C51)</f>
        <v>57045.27</v>
      </c>
      <c r="D52" s="17">
        <f>SUM(D2:D51)</f>
        <v>1</v>
      </c>
    </row>
    <row r="53" spans="1:5" ht="15.6" x14ac:dyDescent="0.3">
      <c r="A53" s="1"/>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478ED-C982-4EE1-A532-7979B17BFC17}">
  <dimension ref="B1:B9"/>
  <sheetViews>
    <sheetView topLeftCell="A3" workbookViewId="0">
      <selection activeCell="D6" sqref="D6"/>
    </sheetView>
  </sheetViews>
  <sheetFormatPr defaultRowHeight="14.4" x14ac:dyDescent="0.3"/>
  <cols>
    <col min="2" max="2" width="61.44140625" customWidth="1"/>
  </cols>
  <sheetData>
    <row r="1" spans="2:2" x14ac:dyDescent="0.3">
      <c r="B1" s="10" t="s">
        <v>23</v>
      </c>
    </row>
    <row r="2" spans="2:2" ht="39" customHeight="1" x14ac:dyDescent="0.3">
      <c r="B2" s="11" t="s">
        <v>15</v>
      </c>
    </row>
    <row r="3" spans="2:2" ht="25.2" customHeight="1" x14ac:dyDescent="0.3">
      <c r="B3" s="11" t="s">
        <v>16</v>
      </c>
    </row>
    <row r="4" spans="2:2" ht="37.200000000000003" customHeight="1" x14ac:dyDescent="0.3">
      <c r="B4" s="11" t="s">
        <v>17</v>
      </c>
    </row>
    <row r="5" spans="2:2" ht="41.4" customHeight="1" x14ac:dyDescent="0.3">
      <c r="B5" s="11" t="s">
        <v>18</v>
      </c>
    </row>
    <row r="6" spans="2:2" ht="32.4" customHeight="1" x14ac:dyDescent="0.3">
      <c r="B6" s="11" t="s">
        <v>19</v>
      </c>
    </row>
    <row r="7" spans="2:2" ht="51" customHeight="1" x14ac:dyDescent="0.3">
      <c r="B7" s="11" t="s">
        <v>20</v>
      </c>
    </row>
    <row r="8" spans="2:2" ht="42" customHeight="1" x14ac:dyDescent="0.3">
      <c r="B8" s="11" t="s">
        <v>21</v>
      </c>
    </row>
    <row r="9" spans="2:2" ht="31.2" customHeight="1" x14ac:dyDescent="0.3">
      <c r="B9" s="11" t="s">
        <v>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75642-9EBC-4B30-9A21-2B0BC75B0356}">
  <dimension ref="A2:B15"/>
  <sheetViews>
    <sheetView topLeftCell="A2" workbookViewId="0">
      <selection activeCell="E12" sqref="E12"/>
    </sheetView>
  </sheetViews>
  <sheetFormatPr defaultRowHeight="14.4" x14ac:dyDescent="0.3"/>
  <cols>
    <col min="1" max="1" width="18.33203125" bestFit="1" customWidth="1"/>
    <col min="2" max="2" width="14.44140625" bestFit="1" customWidth="1"/>
  </cols>
  <sheetData>
    <row r="2" spans="1:2" ht="23.4" x14ac:dyDescent="0.3">
      <c r="A2" s="15"/>
      <c r="B2" s="16" t="s">
        <v>16</v>
      </c>
    </row>
    <row r="3" spans="1:2" x14ac:dyDescent="0.3">
      <c r="A3" s="12" t="s">
        <v>24</v>
      </c>
      <c r="B3" t="s">
        <v>26</v>
      </c>
    </row>
    <row r="4" spans="1:2" x14ac:dyDescent="0.3">
      <c r="A4" s="13" t="s">
        <v>9</v>
      </c>
      <c r="B4" s="14">
        <v>1510.9099999999999</v>
      </c>
    </row>
    <row r="5" spans="1:2" x14ac:dyDescent="0.3">
      <c r="A5" s="13" t="s">
        <v>6</v>
      </c>
      <c r="B5" s="14">
        <v>3342</v>
      </c>
    </row>
    <row r="6" spans="1:2" x14ac:dyDescent="0.3">
      <c r="A6" s="13" t="s">
        <v>10</v>
      </c>
      <c r="B6" s="14">
        <v>5688</v>
      </c>
    </row>
    <row r="7" spans="1:2" x14ac:dyDescent="0.3">
      <c r="A7" s="13" t="s">
        <v>2</v>
      </c>
      <c r="B7" s="14">
        <v>7775</v>
      </c>
    </row>
    <row r="8" spans="1:2" x14ac:dyDescent="0.3">
      <c r="A8" s="13" t="s">
        <v>11</v>
      </c>
      <c r="B8" s="14">
        <v>1411.26</v>
      </c>
    </row>
    <row r="9" spans="1:2" x14ac:dyDescent="0.3">
      <c r="A9" s="13" t="s">
        <v>8</v>
      </c>
      <c r="B9" s="14">
        <v>2586</v>
      </c>
    </row>
    <row r="10" spans="1:2" x14ac:dyDescent="0.3">
      <c r="A10" s="13" t="s">
        <v>3</v>
      </c>
      <c r="B10" s="14">
        <v>7464</v>
      </c>
    </row>
    <row r="11" spans="1:2" x14ac:dyDescent="0.3">
      <c r="A11" s="13" t="s">
        <v>7</v>
      </c>
      <c r="B11" s="14">
        <v>1857</v>
      </c>
    </row>
    <row r="12" spans="1:2" x14ac:dyDescent="0.3">
      <c r="A12" s="13" t="s">
        <v>4</v>
      </c>
      <c r="B12" s="14">
        <v>10194.1</v>
      </c>
    </row>
    <row r="13" spans="1:2" x14ac:dyDescent="0.3">
      <c r="A13" s="13" t="s">
        <v>12</v>
      </c>
      <c r="B13" s="14">
        <v>12000</v>
      </c>
    </row>
    <row r="14" spans="1:2" x14ac:dyDescent="0.3">
      <c r="A14" s="13" t="s">
        <v>5</v>
      </c>
      <c r="B14" s="14">
        <v>3217</v>
      </c>
    </row>
    <row r="15" spans="1:2" x14ac:dyDescent="0.3">
      <c r="A15" s="13" t="s">
        <v>25</v>
      </c>
      <c r="B15" s="14">
        <v>57045.27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Sheet4</vt:lpstr>
      <vt:lpstr>Sheet5</vt:lpstr>
      <vt:lpstr>Sheet6</vt:lpstr>
      <vt:lpstr>Expense</vt:lpstr>
      <vt:lpstr>Tasks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Poulomi Paul</dc:creator>
  <cp:lastModifiedBy>Komal bhati</cp:lastModifiedBy>
  <dcterms:created xsi:type="dcterms:W3CDTF">2015-06-05T18:17:20Z</dcterms:created>
  <dcterms:modified xsi:type="dcterms:W3CDTF">2024-11-28T03:29:58Z</dcterms:modified>
</cp:coreProperties>
</file>